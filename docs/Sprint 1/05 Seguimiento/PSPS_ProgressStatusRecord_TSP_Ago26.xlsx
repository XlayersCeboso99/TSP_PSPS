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d7c19b07ce0500a/ESCRITORIO/Ingeniería/INGENIERÍA/SEMESTRES/7MO SEMESTRE/MATERIAS/Team Software Process/Sprint 1.8/Sprint 1/Sprint 1/05 Seguimiento/"/>
    </mc:Choice>
  </mc:AlternateContent>
  <xr:revisionPtr revIDLastSave="9" documentId="8_{C9927FF0-F628-44E5-99CB-1CD7C71D1BC2}" xr6:coauthVersionLast="47" xr6:coauthVersionMax="47" xr10:uidLastSave="{36DC2F83-F480-435C-AE7F-C215592EA0B0}"/>
  <bookViews>
    <workbookView xWindow="-108" yWindow="-108" windowWidth="23256" windowHeight="12456" activeTab="2" xr2:uid="{00000000-000D-0000-FFFF-FFFF00000000}"/>
  </bookViews>
  <sheets>
    <sheet name="Portada" sheetId="1" r:id="rId1"/>
    <sheet name="PSR" sheetId="2" r:id="rId2"/>
    <sheet name="Control_Diario" sheetId="3" r:id="rId3"/>
    <sheet name="Plan_T01-T14" sheetId="4" r:id="rId4"/>
  </sheets>
  <definedNames>
    <definedName name="FechaCorte">PSR!$C$6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F16" i="4"/>
  <c r="I15" i="4"/>
  <c r="J15" i="4" s="1"/>
  <c r="H15" i="4"/>
  <c r="I14" i="4"/>
  <c r="J14" i="4" s="1"/>
  <c r="H14" i="4"/>
  <c r="I13" i="4"/>
  <c r="J13" i="4" s="1"/>
  <c r="H13" i="4"/>
  <c r="I12" i="4"/>
  <c r="J12" i="4" s="1"/>
  <c r="H12" i="4"/>
  <c r="I11" i="4"/>
  <c r="J11" i="4" s="1"/>
  <c r="H11" i="4"/>
  <c r="I10" i="4"/>
  <c r="J10" i="4" s="1"/>
  <c r="H10" i="4"/>
  <c r="I9" i="4"/>
  <c r="J9" i="4" s="1"/>
  <c r="H9" i="4"/>
  <c r="I8" i="4"/>
  <c r="J8" i="4" s="1"/>
  <c r="H8" i="4"/>
  <c r="I7" i="4"/>
  <c r="J7" i="4" s="1"/>
  <c r="H7" i="4"/>
  <c r="I6" i="4"/>
  <c r="J6" i="4" s="1"/>
  <c r="H6" i="4"/>
  <c r="I5" i="4"/>
  <c r="J5" i="4" s="1"/>
  <c r="H5" i="4"/>
  <c r="I4" i="4"/>
  <c r="J4" i="4" s="1"/>
  <c r="H4" i="4"/>
  <c r="I3" i="4"/>
  <c r="J3" i="4" s="1"/>
  <c r="H3" i="4"/>
  <c r="I2" i="4"/>
  <c r="I16" i="4" s="1"/>
  <c r="H2" i="4"/>
  <c r="H16" i="4" s="1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95" i="2"/>
  <c r="B96" i="2" s="1"/>
  <c r="F64" i="2"/>
  <c r="G64" i="2" s="1"/>
  <c r="E64" i="2"/>
  <c r="D64" i="2"/>
  <c r="F63" i="2"/>
  <c r="E63" i="2"/>
  <c r="D63" i="2"/>
  <c r="F62" i="2"/>
  <c r="G62" i="2" s="1"/>
  <c r="E62" i="2"/>
  <c r="D62" i="2"/>
  <c r="F61" i="2"/>
  <c r="E61" i="2"/>
  <c r="D61" i="2"/>
  <c r="F56" i="2"/>
  <c r="F49" i="2"/>
  <c r="H49" i="2" s="1"/>
  <c r="E49" i="2"/>
  <c r="D49" i="2"/>
  <c r="C49" i="2"/>
  <c r="F48" i="2"/>
  <c r="E48" i="2"/>
  <c r="D48" i="2"/>
  <c r="C48" i="2"/>
  <c r="F47" i="2"/>
  <c r="E47" i="2"/>
  <c r="D47" i="2"/>
  <c r="C47" i="2"/>
  <c r="F46" i="2"/>
  <c r="H46" i="2" s="1"/>
  <c r="E46" i="2"/>
  <c r="D46" i="2"/>
  <c r="D50" i="2" s="1"/>
  <c r="C46" i="2"/>
  <c r="C50" i="2" s="1"/>
  <c r="D32" i="2"/>
  <c r="F24" i="2"/>
  <c r="G24" i="2" s="1"/>
  <c r="E24" i="2"/>
  <c r="D24" i="2"/>
  <c r="F23" i="2"/>
  <c r="E23" i="2"/>
  <c r="D23" i="2"/>
  <c r="F22" i="2"/>
  <c r="E22" i="2"/>
  <c r="D22" i="2"/>
  <c r="F21" i="2"/>
  <c r="E21" i="2"/>
  <c r="D21" i="2"/>
  <c r="F20" i="2"/>
  <c r="G20" i="2" s="1"/>
  <c r="E20" i="2"/>
  <c r="D20" i="2"/>
  <c r="F19" i="2"/>
  <c r="E19" i="2"/>
  <c r="D19" i="2"/>
  <c r="F18" i="2"/>
  <c r="E18" i="2"/>
  <c r="D18" i="2"/>
  <c r="F17" i="2"/>
  <c r="E17" i="2"/>
  <c r="D17" i="2"/>
  <c r="F16" i="2"/>
  <c r="G16" i="2" s="1"/>
  <c r="E16" i="2"/>
  <c r="D16" i="2"/>
  <c r="F15" i="2"/>
  <c r="E15" i="2"/>
  <c r="D15" i="2"/>
  <c r="F14" i="2"/>
  <c r="E14" i="2"/>
  <c r="D14" i="2"/>
  <c r="F13" i="2"/>
  <c r="G13" i="2" s="1"/>
  <c r="E13" i="2"/>
  <c r="D13" i="2"/>
  <c r="F12" i="2"/>
  <c r="G12" i="2" s="1"/>
  <c r="E12" i="2"/>
  <c r="D12" i="2"/>
  <c r="F11" i="2"/>
  <c r="E11" i="2"/>
  <c r="D11" i="2"/>
  <c r="D25" i="2" s="1"/>
  <c r="B7" i="2"/>
  <c r="G17" i="2" l="1"/>
  <c r="G21" i="2"/>
  <c r="G63" i="2"/>
  <c r="E50" i="2"/>
  <c r="G18" i="2"/>
  <c r="G14" i="2"/>
  <c r="G22" i="2"/>
  <c r="G11" i="2"/>
  <c r="G19" i="2"/>
  <c r="G23" i="2"/>
  <c r="G61" i="2"/>
  <c r="G15" i="2"/>
  <c r="G47" i="2"/>
  <c r="E25" i="2"/>
  <c r="G48" i="2"/>
  <c r="H47" i="2"/>
  <c r="H48" i="2"/>
  <c r="D30" i="2"/>
  <c r="D29" i="2"/>
  <c r="F50" i="2"/>
  <c r="G50" i="2" s="1"/>
  <c r="J2" i="4"/>
  <c r="J16" i="4" s="1"/>
  <c r="G46" i="2"/>
  <c r="F25" i="2"/>
  <c r="G49" i="2"/>
  <c r="D33" i="2" l="1"/>
  <c r="G25" i="2"/>
  <c r="H50" i="2"/>
  <c r="D31" i="2"/>
</calcChain>
</file>

<file path=xl/sharedStrings.xml><?xml version="1.0" encoding="utf-8"?>
<sst xmlns="http://schemas.openxmlformats.org/spreadsheetml/2006/main" count="2682" uniqueCount="440">
  <si>
    <t>UNIVERSIDAD AUTÓNOMA DE ZACATECAS</t>
  </si>
  <si>
    <t>CAMPUS UAZ SIGLO XXI</t>
  </si>
  <si>
    <t>INGENIERÍA DE SOFTWARE</t>
  </si>
  <si>
    <t>Sebastián Guerra Hernández</t>
  </si>
  <si>
    <t>Pablo Valentín Varela Rivera</t>
  </si>
  <si>
    <t>Francisco Valdez García</t>
  </si>
  <si>
    <t>Marco Antonio de Jesús Oliva Santos</t>
  </si>
  <si>
    <t>PSPS</t>
  </si>
  <si>
    <t>Progress Status Record</t>
  </si>
  <si>
    <t>Team Software Process</t>
  </si>
  <si>
    <t>8 de octubre de 2026</t>
  </si>
  <si>
    <t>Progress Status Record (WP.06) — PSPS</t>
  </si>
  <si>
    <t>Proyecto</t>
  </si>
  <si>
    <t>PSPS – Aplicación móvil para la enseñanza de Ingeniería de Software</t>
  </si>
  <si>
    <t>Cliente</t>
  </si>
  <si>
    <t>M. L. SIGG</t>
  </si>
  <si>
    <t>Gestor del proyecto (PJM)</t>
  </si>
  <si>
    <t>Fecha de corte</t>
  </si>
  <si>
    <t>Se actualiza cada vez que se ingresa</t>
  </si>
  <si>
    <t>Periodo en curso</t>
  </si>
  <si>
    <t>Tarea (Project Plan)</t>
  </si>
  <si>
    <t>Descripción</t>
  </si>
  <si>
    <t>Tareas ISO</t>
  </si>
  <si>
    <t>Horas plan (total)</t>
  </si>
  <si>
    <t>Plan a la fecha</t>
  </si>
  <si>
    <t>Horas reales capturadas</t>
  </si>
  <si>
    <t>Capturadas − plan al corte</t>
  </si>
  <si>
    <t>Estado</t>
  </si>
  <si>
    <t>Resultado / evidencia a la fecha de corte</t>
  </si>
  <si>
    <t>T01</t>
  </si>
  <si>
    <t>Generar, revisar y someter a aprobación el Project Plan; mantenerlo actualizado.</t>
  </si>
  <si>
    <t>PM.01.01–PM.01.09</t>
  </si>
  <si>
    <t>En proceso</t>
  </si>
  <si>
    <t>Project Plan 24/09 aprobado según el equipo; anexar el escaneo firmado con su fecha real. La actualización del calendario se tramita en CR-01, pendiente de aprobación de la cliente.</t>
  </si>
  <si>
    <t>T02</t>
  </si>
  <si>
    <t>Revisar el plan con el equipo; preparar y verificar el entorno por plataforma.</t>
  </si>
  <si>
    <t>SI.01.01, SI.01.02, PM.01.10</t>
  </si>
  <si>
    <t>MR-02: revisión del plan con el equipo el 24/09; entorno Android reportado. iOS pendiente por falta de Mac/Xcode.</t>
  </si>
  <si>
    <t>T03</t>
  </si>
  <si>
    <t>Analizar y documentar requisitos; crear y refinar el Product Backlog.</t>
  </si>
  <si>
    <t>SI.02.02</t>
  </si>
  <si>
    <t>SRS v0.1 revisado el 07/10 y actualizado el 08/10; horas de la actualización incluidas en los ID 103, 105 y 109. Esfuerzo +25.75 h sobre el plan por apoyo no planeado (ver sección 7). RF-07/RF-09 y G-01–G-03 se definen y validan en Sprint 2.</t>
  </si>
  <si>
    <t>T04</t>
  </si>
  <si>
    <t>Validar y obtener aprobación de requisitos con la cliente; ordenar el Product Backlog.</t>
  </si>
  <si>
    <t>SI.02.03, SI.02.04</t>
  </si>
  <si>
    <t>MR-06 y MR-07 mantienen la aprobación del SRS pendiente. Preparación registrada; no acredita aprobación.</t>
  </si>
  <si>
    <t>T05</t>
  </si>
  <si>
    <t>Identificar y documentar componentes e interfaces de los elementos seleccionados.</t>
  </si>
  <si>
    <t>SI.03.03</t>
  </si>
  <si>
    <t>T06</t>
  </si>
  <si>
    <t>Revisar el diseño antes de construir los componentes correspondientes.</t>
  </si>
  <si>
    <t>SI.03.02, SI.03.04</t>
  </si>
  <si>
    <t>MR-06 documenta revisión del SRS el 07/10. Revisiones posteriores y aprobación del diseño por completar; horas individuales registradas al corte.</t>
  </si>
  <si>
    <t>T07</t>
  </si>
  <si>
    <t>Construir los componentes del alcance seleccionado.</t>
  </si>
  <si>
    <t>SI.04.02, SI.04.05</t>
  </si>
  <si>
    <t>Bitácora y MR-03/MR-07 reportan construcción Android. 12.25 h reales frente a 24 h planeadas al corte, desplazadas por el apoyo no planeado al SRS (ver sección 7). Relacionar commits por responsable.</t>
  </si>
  <si>
    <t>T08</t>
  </si>
  <si>
    <t>Preparar y ejecutar pruebas unitarias y de widgets; corregir defectos.</t>
  </si>
  <si>
    <t>SI.04.03, SI.04.04</t>
  </si>
  <si>
    <t>MR-07 reporta 10 pruebas automáticas aprobadas. Horas registradas por integrante; faltan casos/logs (WP.14) y no consta cierre de todos los componentes.</t>
  </si>
  <si>
    <t>T09</t>
  </si>
  <si>
    <t>Integrar componentes durante el Sprint conforme se completen.</t>
  </si>
  <si>
    <t>SI.05.03</t>
  </si>
  <si>
    <t>MR-03/MR-07 reportan incremento integrado Android. Horas registradas; relacionar versión/commit.</t>
  </si>
  <si>
    <t>T10</t>
  </si>
  <si>
    <t>Ejecutar pruebas de integración, registrar resultados y corregir defectos.</t>
  </si>
  <si>
    <t>SI.05.02, SI.05.04, SI.05.05</t>
  </si>
  <si>
    <t>MR-07 reporta 1 prueba de integración Android. Modo avión e iOS pendientes; faltan registros técnicos (WP.15). Esfuerzo registrado.</t>
  </si>
  <si>
    <t>T11</t>
  </si>
  <si>
    <t>Realizar Sprint Review y registrar acuerdos; validar el producto final.</t>
  </si>
  <si>
    <t>PM.02.02, SI.05.06</t>
  </si>
  <si>
    <t>MR-03 (02/10) y MR-07 (08/10): revisiones internas del incremento, sin la cliente. Pendiente: Sprint Review con la cliente en el Sprint 2 y validación final.</t>
  </si>
  <si>
    <t>T12</t>
  </si>
  <si>
    <t>Preparar la versión entregable, la guía de operación y el paquete de entrega.</t>
  </si>
  <si>
    <t>SI.06.01, SI.06.02</t>
  </si>
  <si>
    <t>Pendiente</t>
  </si>
  <si>
    <t>T13</t>
  </si>
  <si>
    <t>Entregar el producto final y solicitar la aceptación de la cliente.</t>
  </si>
  <si>
    <t>PM.04.01, PM.04.02</t>
  </si>
  <si>
    <t>Entrega propuesta del 16 al 20/11 en CR-01; pendiente de aprobación y de la aceptación real.</t>
  </si>
  <si>
    <t>T14</t>
  </si>
  <si>
    <t>Monitorear esfuerzo, avance, reuniones, cambios, riesgos y desviaciones.</t>
  </si>
  <si>
    <t>PM.02.01, PM.03.01–PM.03.03</t>
  </si>
  <si>
    <t>MR-01: Planning 21/09; MR-04: mejora intermedia 02/10; MR-05: ajuste 05/10; MR-07: cierre 08/10. Dailies D-01 a D-14 al corte; D-15 en la bitácora de seguimiento posterior. Pendiente: Planning del Sprint 2 (12/10).</t>
  </si>
  <si>
    <t>Total</t>
  </si>
  <si>
    <t>2. Indicadores de avance y esfuerzo al corte</t>
  </si>
  <si>
    <t>Indicador</t>
  </si>
  <si>
    <t>Cómo se calcula</t>
  </si>
  <si>
    <t>Valor</t>
  </si>
  <si>
    <t>Cómo leerlo</t>
  </si>
  <si>
    <t>Valor planeado (PV)</t>
  </si>
  <si>
    <t>Horas plan a la fecha ÷ horas plan totales</t>
  </si>
  <si>
    <t>Lo que ya debería estar hecho según el plan.</t>
  </si>
  <si>
    <t>Valor ganado (EV)</t>
  </si>
  <si>
    <t>Horas estimadas de filas «Completado» ÷ horas plan totales</t>
  </si>
  <si>
    <t>Lo que realmente se terminó.</t>
  </si>
  <si>
    <t>SPI (EV ÷ PV)</t>
  </si>
  <si>
    <t>Índice de desempeño del cronograma</t>
  </si>
  <si>
    <t>Menor que 1: vamos atrasados. Mayor que 1: adelantados.</t>
  </si>
  <si>
    <t>CPI de filas completadas</t>
  </si>
  <si>
    <t>Horas estimadas ÷ horas reales de las filas «Completado»</t>
  </si>
  <si>
    <t>Solo filas completadas; excluye esfuerzo en proceso. No representa la eficiencia global.</t>
  </si>
  <si>
    <t>Suma de horas reales del Control_Diario</t>
  </si>
  <si>
    <t>3. Resultados vs. objetivos del proyecto (Project Plan §5)</t>
  </si>
  <si>
    <t>Objetivo específico</t>
  </si>
  <si>
    <t>Requisitos relacionados</t>
  </si>
  <si>
    <t>Resultado a la fecha</t>
  </si>
  <si>
    <t>Organizar los conceptos en módulos o temas claros y estructurados.</t>
  </si>
  <si>
    <t>RN-02, RF-01, CT-01–CT-10</t>
  </si>
  <si>
    <t>MR-07 reporta 4 módulos y 10 temas; agrupación definitiva pendiente D-01.</t>
  </si>
  <si>
    <t>Implementar actividades interactivas sobre situaciones de Ingeniería de Software.</t>
  </si>
  <si>
    <t>RF-03, CU-02</t>
  </si>
  <si>
    <t>MR-07 reporta actividad de ordenar pasos. Falta validar contenido y completar gamificación.</t>
  </si>
  <si>
    <t>Incorporar elementos de gamificación.</t>
  </si>
  <si>
    <t>RF-06, RF-07, G-01–G-03</t>
  </si>
  <si>
    <t>Puntos de demostración reportados; logros/desbloqueos y catálogo pendientes para Sprint 2.</t>
  </si>
  <si>
    <t>Permitir recorrer los contenidos y visualizar el avance.</t>
  </si>
  <si>
    <t>RF-02, RF-04, RF-05, RF-08</t>
  </si>
  <si>
    <t>MR-07 reporta progreso y guardado local; faltan evidencias técnicas y prueba manual modo avión.</t>
  </si>
  <si>
    <t>Desarrollar una interfaz móvil clara y fácil de usar.</t>
  </si>
  <si>
    <t>RNF-05</t>
  </si>
  <si>
    <t>MR-03/MR-07 refieren wireframes y pantallas; validar interfaz y registrar evidencias.</t>
  </si>
  <si>
    <t>Entregar una versión funcional que cumpla el alcance acordado.</t>
  </si>
  <si>
    <t>Agreement §4 y §6</t>
  </si>
  <si>
    <t>Entrega propuesta del 16 al 20/11/2026 (CR-01).</t>
  </si>
  <si>
    <t>4. Recursos: horas disponibles, planeadas y reales por integrante (eventos de equipo ÷ 4)</t>
  </si>
  <si>
    <t>Integrante</t>
  </si>
  <si>
    <t>Rol (Project Plan §11)</t>
  </si>
  <si>
    <t>Disponibilidad teórica</t>
  </si>
  <si>
    <t>Horas reales atribuidas</t>
  </si>
  <si>
    <t>Varianza (reales − plan a la fecha)</t>
  </si>
  <si>
    <t>Uso de horas disponibles</t>
  </si>
  <si>
    <t>Observaciones</t>
  </si>
  <si>
    <t>PJM / Scrum Master / Developer</t>
  </si>
  <si>
    <t>Horas individuales capturadas más reuniones de equipo ÷ 4. El equipo confirmó que los cuatro asistieron a todas las reuniones.</t>
  </si>
  <si>
    <t>WT / Developer – Calidad</t>
  </si>
  <si>
    <t>WT / Developer – Técnico</t>
  </si>
  <si>
    <t>WT / Developer – Colaboración</t>
  </si>
  <si>
    <t>Total equipo</t>
  </si>
  <si>
    <t>Referencia: 99 h-persona por integrante (Project Plan §13)</t>
  </si>
  <si>
    <t>Disponibilidad y límites</t>
  </si>
  <si>
    <t>Capacidad teórica: 3 h/persona por día de lunes a viernes hasta 12/11, sin descontar feriados. No equivale a horas trabajadas. El plan conserva 396 h. Reuniones repartidas entre cuatro: asistencia 4/4 confirmada.</t>
  </si>
  <si>
    <t>Recursos materiales</t>
  </si>
  <si>
    <t>Equipos y herramientas según Project Plan §10. Pendiente: acceso a Mac con Xcode para compilar y probar en iOS.</t>
  </si>
  <si>
    <t>5. Costo real vs. presupuesto (Project Plan §13)</t>
  </si>
  <si>
    <t>Concepto</t>
  </si>
  <si>
    <t>Presupuesto (MXN)</t>
  </si>
  <si>
    <t>Real (MXN)</t>
  </si>
  <si>
    <t>Varianza (MXN)</t>
  </si>
  <si>
    <t>Costo directo</t>
  </si>
  <si>
    <t>Equipos y herramientas disponibles sin cargos adicionales</t>
  </si>
  <si>
    <t>Sin gastos a la fecha. Si se necesita cuenta de desarrollador o acceso a Mac para iOS, evaluarlo antes de comprometerlo.</t>
  </si>
  <si>
    <t>6. Tiempo real vs. cronograma (Sprint 1 confirmado; Sprint 2 en adelante según CR-01)</t>
  </si>
  <si>
    <t>Periodo</t>
  </si>
  <si>
    <t>Fechas</t>
  </si>
  <si>
    <t>Días de trabajo</t>
  </si>
  <si>
    <t>Horas plan</t>
  </si>
  <si>
    <t>Horas reales</t>
  </si>
  <si>
    <t>Varianza</t>
  </si>
  <si>
    <t>Sprint 0</t>
  </si>
  <si>
    <t>Hasta el 18/09/2026</t>
  </si>
  <si>
    <t>—</t>
  </si>
  <si>
    <t>Completado</t>
  </si>
  <si>
    <t>Agreement (11/09), Estándar y Reglas y metas (09/09); antes del esfuerzo del Project Plan. La versión inicial del SRS se elaboró el 22/09, ya en el Sprint 1.</t>
  </si>
  <si>
    <t>Sprint 1</t>
  </si>
  <si>
    <t>21/09/2026 – 08/10/2026</t>
  </si>
  <si>
    <t>Sprint 2</t>
  </si>
  <si>
    <t>12/10/2026 – 26/10/2026</t>
  </si>
  <si>
    <t>Inicia con el Sprint Planning del 12/10; sesión con la cliente propuesta el 14/10 para D-01, D-02, SRS v0.1 y CR-01; cierra con la Sprint Review con la cliente el 26/10. Fechas en CR-01, pendiente de aprobación.</t>
  </si>
  <si>
    <t>Sprint 3</t>
  </si>
  <si>
    <t>27/10/2026 – 12/11/2026</t>
  </si>
  <si>
    <t>Fechas propuestas en CR-01. Se mantienen tres sprints.</t>
  </si>
  <si>
    <t>Entrega</t>
  </si>
  <si>
    <t>16/11/2026 – 20/11/2026</t>
  </si>
  <si>
    <t>Revisión y entrega: consolidación, validación final y aceptación (propuesta CR-01).</t>
  </si>
  <si>
    <t>Hito</t>
  </si>
  <si>
    <t>Fecha</t>
  </si>
  <si>
    <t>Fin del Sprint 0</t>
  </si>
  <si>
    <t>18/09/2026</t>
  </si>
  <si>
    <t>Hito documental (PM.01–PM.04, SI.01–SI.06)</t>
  </si>
  <si>
    <t>25/09/2026</t>
  </si>
  <si>
    <t>Varios productos de trabajo siguen sin evidencia; ver el mapeo ISO 29110.</t>
  </si>
  <si>
    <t>Fin del Sprint 1</t>
  </si>
  <si>
    <t>08/10/2026</t>
  </si>
  <si>
    <t>Cierre documentado en MR-07 del 08/10.</t>
  </si>
  <si>
    <t>Fin del Sprint 2</t>
  </si>
  <si>
    <t>26/10/2026 (CR-01)</t>
  </si>
  <si>
    <t>Fin del Sprint 3</t>
  </si>
  <si>
    <t>12/11/2026 (CR-01)</t>
  </si>
  <si>
    <t>Revisión y entrega (límite)</t>
  </si>
  <si>
    <t>16/11/2026 – 20/11/2026 (CR-01)</t>
  </si>
  <si>
    <t>7. Desviaciones y acciones correctivas (PM.03.03, p. 12)</t>
  </si>
  <si>
    <t>Desviación</t>
  </si>
  <si>
    <t>Causa / razón</t>
  </si>
  <si>
    <t>Responsable</t>
  </si>
  <si>
    <t>Fecha compromiso</t>
  </si>
  <si>
    <t>Acción correctiva</t>
  </si>
  <si>
    <t>SRS sin aprobación y con decisiones pendientes.</t>
  </si>
  <si>
    <t>14/10/2026 (sesión con la cliente)</t>
  </si>
  <si>
    <t>Abierta</t>
  </si>
  <si>
    <t>Definir y validar RF-07/RF-09 y G-01–G-03 en Sprint 2; resolver otras decisiones según backlog; registrar aprobación real.</t>
  </si>
  <si>
    <t>Avance técnico y horas sin conciliar (conciliadas el 10/10).</t>
  </si>
  <si>
    <t>Bitácora y MR-03/MR-07 reportan código y pruebas; el PSR anterior registraba 0 horas y ausencia de trabajo.</t>
  </si>
  <si>
    <t>10/10/2026</t>
  </si>
  <si>
    <t>Cerrada</t>
  </si>
  <si>
    <t>Calendario del Project Plan §12 distinto a los hitos del curso.</t>
  </si>
  <si>
    <t>El plan se hizo antes de conocer las fechas oficiales de cada Sprint.</t>
  </si>
  <si>
    <t>CR-01: Sprint 1 21/09–08/10; Sprint 2 12/10–26/10; Sprint 3 27/10–12/11; entrega 16–20/11. Presentar a la cliente y actualizar §12 del Project Plan solo si se aprueba.</t>
  </si>
  <si>
    <t>Firmas de Agreement y Project Plan sin escaneo en el repositorio.</t>
  </si>
  <si>
    <t>Los registros previos no coincidían sobre las firmas.</t>
  </si>
  <si>
    <t>12/10/2026</t>
  </si>
  <si>
    <t>En seguimiento</t>
  </si>
  <si>
    <t>El equipo confirma ambos documentos aprobados. Anexar los escaneos firmados con su fecha real.</t>
  </si>
  <si>
    <t>Acceso a Mac/Xcode sin confirmar; iOS bloqueado.</t>
  </si>
  <si>
    <t>Recurso pendiente desde la preparación del Sprint 1 (Project Plan §10).</t>
  </si>
  <si>
    <t>Antes del primer incremento iOS</t>
  </si>
  <si>
    <t>Conseguir equipo; si no se puede, entregar Android y documentar iOS como pendiente (Project Plan §14).</t>
  </si>
  <si>
    <t>Sin Sprint Review con la cliente en el Sprint 1.</t>
  </si>
  <si>
    <t>MR-03 y MR-07 fueron revisiones internas; la cliente no participó en ninguna reunión del Sprint 1 (PM.02.02).</t>
  </si>
  <si>
    <t>26/10/2026</t>
  </si>
  <si>
    <t>Sesión con la cliente el 14/10 (D-01, D-02, SRS v0.1 y CR-01) y Sprint Review del Sprint 2 con la cliente el 26/10; registrar ambas minutas (WP.05) con su firma.</t>
  </si>
  <si>
    <t>Fecha del Project Plan inconsistente (21/09 en el SRS vs. 24/09 en la portada).</t>
  </si>
  <si>
    <t>Referencia desactualizada en SRS §1.5 (REF-02).</t>
  </si>
  <si>
    <t>Atendida</t>
  </si>
  <si>
    <t>Esfuerzo de T03 superior al plan (+25.75 h) y tareas técnicas por debajo (T05, T07–T10).</t>
  </si>
  <si>
    <t>Apoyo no planeado al SRS por requisitos ambiguos (regla de avance por preguntas, Daily D-08).</t>
  </si>
  <si>
    <t>12/10/2026 (Sprint Planning del Sprint 2)</t>
  </si>
  <si>
    <t>Revisión de pares de requisitos antes de construir (MR-04) y replanificación del trabajo técnico desplazado en el Sprint 2.</t>
  </si>
  <si>
    <t>8. Riesgos de la iteración</t>
  </si>
  <si>
    <t>Riesgo</t>
  </si>
  <si>
    <t>Probabilidad</t>
  </si>
  <si>
    <t>Impacto</t>
  </si>
  <si>
    <t>Plan B</t>
  </si>
  <si>
    <t>No conseguir acceso a Mac/Xcode para iOS.</t>
  </si>
  <si>
    <t>Media</t>
  </si>
  <si>
    <t>Alto</t>
  </si>
  <si>
    <t>Pedir equipo prestado (universidad o compañeros). Si no, entregar Android y documentar iOS como pendiente sin declararlo probado.</t>
  </si>
  <si>
    <t>La validación del SRS se sigue retrasando.</t>
  </si>
  <si>
    <t>Agendar una sesión corta con la cliente; mientras, diseñar y construir lo ya acordado (RF-01 a RF-06).</t>
  </si>
  <si>
    <t>Carga de otras materias reduce las horas disponibles.</t>
  </si>
  <si>
    <t>Reorganizar el Sprint Backlog, priorizar tareas críticas y redistribuir temporalmente entre integrantes.</t>
  </si>
  <si>
    <t>Agotamiento por recuperar el atraso del Sprint 1.</t>
  </si>
  <si>
    <t>Medio</t>
  </si>
  <si>
    <t>Respetar el límite de 3 h diarias; recortar primero lo pendiente de validar (RF-07, RF-09).</t>
  </si>
  <si>
    <t>Problemas técnicos con Flutter o el almacenamiento local que bloqueen otras tareas.</t>
  </si>
  <si>
    <t>Baja</t>
  </si>
  <si>
    <t>Pedir apoyo al responsable técnico, investigar alternativas y avanzar otras tareas mientras se resuelve.</t>
  </si>
  <si>
    <t>Un integrante no puede trabajar por causas externas.</t>
  </si>
  <si>
    <t>Todo el avance en GitHub e Issues para que otro pueda continuar; reasignar lo urgente.</t>
  </si>
  <si>
    <t>9. Defectos (PM.02.01, p. 11)</t>
  </si>
  <si>
    <t>Cantidad</t>
  </si>
  <si>
    <t>Fuente</t>
  </si>
  <si>
    <t>Defectos reportados</t>
  </si>
  <si>
    <t>MR-07, 08/10: 15. Falta contrastar bitácora de defectos y reporte WP.15.</t>
  </si>
  <si>
    <t>Corregidos, incluidos cerrados</t>
  </si>
  <si>
    <t>MR-07: 9 cerrados + 2 corregidos por verificar = 11. Cifras reportadas.</t>
  </si>
  <si>
    <t>Defectos abiertos</t>
  </si>
  <si>
    <t>15 reportados − 11 corregidos = 4 abiertos, según MR-07.</t>
  </si>
  <si>
    <t>Correcciones por verificar</t>
  </si>
  <si>
    <t>MR-07: 2 corregidos aún sin verificar; no se consideran cerrados.</t>
  </si>
  <si>
    <t>10. Firma del gestor del proyecto (WP.06)</t>
  </si>
  <si>
    <t>Gestor del proyecto</t>
  </si>
  <si>
    <t>Firma:</t>
  </si>
  <si>
    <t>Fecha:</t>
  </si>
  <si>
    <t>ID</t>
  </si>
  <si>
    <t>Sprint / Periodo</t>
  </si>
  <si>
    <t>Rol</t>
  </si>
  <si>
    <t>Tarea PP</t>
  </si>
  <si>
    <t>Código ISO</t>
  </si>
  <si>
    <t>Descripción de la tarea</t>
  </si>
  <si>
    <t>Work Product</t>
  </si>
  <si>
    <t>Horas estimadas</t>
  </si>
  <si>
    <t>Revisar horas al corte</t>
  </si>
  <si>
    <t>PM.01.08</t>
  </si>
  <si>
    <t>Actualizar el Project Plan y su control de versiones</t>
  </si>
  <si>
    <t>Project Plan (WP.07)</t>
  </si>
  <si>
    <t>PM.01.08–.09</t>
  </si>
  <si>
    <t>Generar, revisar y someter a aprobación el Project Plan</t>
  </si>
  <si>
    <t>PM.01.09</t>
  </si>
  <si>
    <t>Revisar el Project Plan antes de someterlo a aprobación</t>
  </si>
  <si>
    <t>Project Plan revisado</t>
  </si>
  <si>
    <t>SI.01.02</t>
  </si>
  <si>
    <t>Preparar y verificar el entorno por plataforma (Flutter, Android, iOS)</t>
  </si>
  <si>
    <t>Implementation Environment (WP.04)</t>
  </si>
  <si>
    <t>PM.01.10</t>
  </si>
  <si>
    <t>Establecer el repositorio GitHub y GitHub Issues (etiquetas, hitos)</t>
  </si>
  <si>
    <t>Repositorio (WP.08)</t>
  </si>
  <si>
    <t>Equipo</t>
  </si>
  <si>
    <t>Scrum Team (4 integrantes)</t>
  </si>
  <si>
    <t>SI.01.01</t>
  </si>
  <si>
    <t>Revisar el Project Plan con el equipo (MR-02)</t>
  </si>
  <si>
    <t>Minuta de revisión (WP.05)</t>
  </si>
  <si>
    <t>Verificación breve del entorno al inicio del Sprint</t>
  </si>
  <si>
    <t>Analizar y documentar requisitos (SRS); refinar Product Backlog</t>
  </si>
  <si>
    <t>SRS (WP.09)</t>
  </si>
  <si>
    <t>Apoyo no planeado en el SRS</t>
  </si>
  <si>
    <t>SI.02.03</t>
  </si>
  <si>
    <t>Participar en la validación de requisitos y registrar correcciones</t>
  </si>
  <si>
    <t>SRS validado (WP.09)</t>
  </si>
  <si>
    <t>Validar requisitos con la cliente y ordenar el Product Backlog</t>
  </si>
  <si>
    <t>SRS validado (WP.09), Minuta (WP.05)</t>
  </si>
  <si>
    <t>SI.02.04</t>
  </si>
  <si>
    <t>Registrar el SRS aprobado en el repositorio (línea base)</t>
  </si>
  <si>
    <t>SRS [baselined]</t>
  </si>
  <si>
    <t>Identificar y documentar componentes e interfaces (SDS)</t>
  </si>
  <si>
    <t>SDS (WP.12)</t>
  </si>
  <si>
    <t>SI.03.02</t>
  </si>
  <si>
    <t>Revisar requisitos y diseño antes de construir</t>
  </si>
  <si>
    <t>Registro de revisión</t>
  </si>
  <si>
    <t>SI.04.02</t>
  </si>
  <si>
    <t>Construir componentes del Sprint Backlog</t>
  </si>
  <si>
    <t>Componentes (WP.11)</t>
  </si>
  <si>
    <t>SI.04.05</t>
  </si>
  <si>
    <t>Construir componentes y versionarlos en el repositorio</t>
  </si>
  <si>
    <t>SI.04.03</t>
  </si>
  <si>
    <t>Diseñar casos de prueba unitarios ligados a RF y CA</t>
  </si>
  <si>
    <t>Casos de prueba (WP.14)</t>
  </si>
  <si>
    <t>SI.04.03–.04</t>
  </si>
  <si>
    <t>Preparar y ejecutar pruebas unitarias y de widgets; corregir defectos</t>
  </si>
  <si>
    <t>Integrar componentes terminados</t>
  </si>
  <si>
    <t>Software integrado (WP.10)</t>
  </si>
  <si>
    <t>SI.05.02</t>
  </si>
  <si>
    <t>Preparar y revisar casos de prueba de integración; ejecutar y registrar</t>
  </si>
  <si>
    <t>Casos de prueba / Reporte (WP.14, WP.15)</t>
  </si>
  <si>
    <t>SI.05.02–.05</t>
  </si>
  <si>
    <t>Pruebas de integración; registrar resultados y corregir defectos</t>
  </si>
  <si>
    <t>Reporte de pruebas (WP.15)</t>
  </si>
  <si>
    <t>Equipo; esfuerzo individual por confirmar</t>
  </si>
  <si>
    <t>PM.02.02</t>
  </si>
  <si>
    <t>Revisión interna del incremento del Sprint 1 (MR-03)</t>
  </si>
  <si>
    <t>MR-03 (WP.05)</t>
  </si>
  <si>
    <t>Cierre del Sprint 1 y presentación de la Iteración 1 (MR-07)</t>
  </si>
  <si>
    <t>Minuta de Review (WP.05)</t>
  </si>
  <si>
    <t>SI.06.02</t>
  </si>
  <si>
    <t>Preparar versión entregable y avance de la Guía de operación</t>
  </si>
  <si>
    <t>Producto / Guía (WP.13)</t>
  </si>
  <si>
    <t>PM.02.01</t>
  </si>
  <si>
    <t>Daily Scrum (4 × 15 min): revisar avance e impedimentos</t>
  </si>
  <si>
    <t>Registro de avance (WP.06)</t>
  </si>
  <si>
    <t>SI.02.01</t>
  </si>
  <si>
    <t>Sprint Planning 1: objetivo, selección del Product Backlog y asignación de tareas</t>
  </si>
  <si>
    <t>Sprint Backlog / Minuta (WP.05)</t>
  </si>
  <si>
    <t>Daily Scrum D-05 según bitácora</t>
  </si>
  <si>
    <t>Bitácora Daily Scrum (WP.05)</t>
  </si>
  <si>
    <t>PM.03.01</t>
  </si>
  <si>
    <t>Evaluar avance vs. plan y actualizar el Progress Status Record</t>
  </si>
  <si>
    <t>Progress Status Record (WP.06)</t>
  </si>
  <si>
    <t>Daily Scrum D-10 según bitácora</t>
  </si>
  <si>
    <t>PM.03.03</t>
  </si>
  <si>
    <t>Revisión interna intermedia de mejoras (MR-04); no es la retrospectiva final</t>
  </si>
  <si>
    <t>Acciones en PSR (WP.06)</t>
  </si>
  <si>
    <t>Ajustar el trabajo restante del Sprint 1 y preparar su cierre (MR-05)</t>
  </si>
  <si>
    <t>Actualizar SRS a revisión v0.1</t>
  </si>
  <si>
    <t>SRS v0.1 (WP.09)</t>
  </si>
  <si>
    <t>Sesión con la cliente al inicio del Sprint: decidir D-01 y D-02 y presentar el SRS v0.1 y el CR-01 (fecha propuesta; agendar con la cliente)</t>
  </si>
  <si>
    <t>Documentar revisión SDS v0.1 basada en SRS v0.1</t>
  </si>
  <si>
    <t>SDS v0.1 (WP.12)</t>
  </si>
  <si>
    <t>Verificar y aceptar las etapas 1 y 2 y la parte definida de la etapa 3 (progreso y actividades) del Plan de integración</t>
  </si>
  <si>
    <t>Sprint Review 2 con la cliente; registrar acuerdos</t>
  </si>
  <si>
    <t>Entre sprints</t>
  </si>
  <si>
    <t>Daily Scrum D-15 (entre el cierre del Sprint 1 y el Planning del Sprint 2)</t>
  </si>
  <si>
    <t>Sprint Retrospective 2: mejoras y acciones correctivas</t>
  </si>
  <si>
    <t>Sprint Review 3 con la cliente; registrar acuerdos</t>
  </si>
  <si>
    <t>Sprint Planning 3: objetivo, selección del Product Backlog y asignación de tareas</t>
  </si>
  <si>
    <t>Sprint Retrospective 3: mejoras y acciones correctivas</t>
  </si>
  <si>
    <t>SI.05.06</t>
  </si>
  <si>
    <t>Validación final del producto con la cliente</t>
  </si>
  <si>
    <t>Minuta de validación (WP.05)</t>
  </si>
  <si>
    <t>Consolidar versión entregable 1.0 (APK/IPA)</t>
  </si>
  <si>
    <t>Producto (WP.13)</t>
  </si>
  <si>
    <t>Consolidar Guía de operación v1.0 (PDF) y paquete de entrega</t>
  </si>
  <si>
    <t>Guía de operación (WP.13)</t>
  </si>
  <si>
    <t>PM.04.01–.02</t>
  </si>
  <si>
    <t>Entrega del producto y firma del Acceptance Record</t>
  </si>
  <si>
    <t>Acceptance record (WP.01)</t>
  </si>
  <si>
    <t>Seguimiento final: avance, riesgos y cierre de desviaciones</t>
  </si>
  <si>
    <t>PM.01 / SI.02.01</t>
  </si>
  <si>
    <t>Sprint Planning del Sprint 2: objetivo, selección del Product Backlog y asignación</t>
  </si>
  <si>
    <t>Minuta (WP.05)</t>
  </si>
  <si>
    <t>Tarea (Project Plan §8)</t>
  </si>
  <si>
    <t>Resultado esperado</t>
  </si>
  <si>
    <t>Tareas ISO 29110</t>
  </si>
  <si>
    <t>Horas Sprints</t>
  </si>
  <si>
    <t>Horas posteriores</t>
  </si>
  <si>
    <t>Total plan</t>
  </si>
  <si>
    <t>Estimación actual en Control_Diario (propuesta de replanificación para el Planning del 12/10)</t>
  </si>
  <si>
    <t>Diferencia vs. base (h)</t>
  </si>
  <si>
    <t>Fechas en Control_Diario</t>
  </si>
  <si>
    <t>Responsable principal</t>
  </si>
  <si>
    <t>Project Plan revisado y aprobación registrada.</t>
  </si>
  <si>
    <t>WP.07 Project plan</t>
  </si>
  <si>
    <t>21/09/2026 – 23/09/2026</t>
  </si>
  <si>
    <t>Implementation Environment y evidencias de verificación.</t>
  </si>
  <si>
    <t>WP.04, WP.08</t>
  </si>
  <si>
    <t>21/09/2026 – 28/10/2026</t>
  </si>
  <si>
    <t>Especificación de requisitos y Product Backlog.</t>
  </si>
  <si>
    <t>WP.09 Requirements specification</t>
  </si>
  <si>
    <t>22/09/2026 – 28/10/2026</t>
  </si>
  <si>
    <t>Requisitos validados y aprobados; Backlog ordenado.</t>
  </si>
  <si>
    <t>WP.09 [validated, baselined], WP.05</t>
  </si>
  <si>
    <t>23/09/2026 – 29/10/2026</t>
  </si>
  <si>
    <t>Especificación de componentes.</t>
  </si>
  <si>
    <t>WP.12 Software components specification</t>
  </si>
  <si>
    <t>23/09/2026 – 30/10/2026</t>
  </si>
  <si>
    <t>Diseño revisado y observaciones atendidas.</t>
  </si>
  <si>
    <t>WP.12 [baselined]</t>
  </si>
  <si>
    <t>Componentes de software versionados.</t>
  </si>
  <si>
    <t>WP.11 Software components</t>
  </si>
  <si>
    <t>28/09/2026 – 09/11/2026</t>
  </si>
  <si>
    <t>Componentes probados y resultados registrados.</t>
  </si>
  <si>
    <t>WP.14 Test cases and test procedures</t>
  </si>
  <si>
    <t>29/09/2026 – 10/11/2026</t>
  </si>
  <si>
    <t>Incremento integrado y disponible para comprobar sus flujos.</t>
  </si>
  <si>
    <t>WP.10 Software</t>
  </si>
  <si>
    <t>01/10/2026 – 12/11/2026</t>
  </si>
  <si>
    <t>Resultados de pruebas e incremento verificado.</t>
  </si>
  <si>
    <t>WP.14, WP.15 Test report</t>
  </si>
  <si>
    <t>05/10/2026 – 12/11/2026</t>
  </si>
  <si>
    <t>Incremento revisado, retroalimentación y validación final registrada.</t>
  </si>
  <si>
    <t>WP.05 Meeting record</t>
  </si>
  <si>
    <t>02/10/2026 – 19/11/2026</t>
  </si>
  <si>
    <t>Producto preparado e instrucciones de instalación comprobadas.</t>
  </si>
  <si>
    <t>WP.13 Software product</t>
  </si>
  <si>
    <t>05/10/2026 – 17/11/2026</t>
  </si>
  <si>
    <t>Registro de aceptación; firma cuando ocurra.</t>
  </si>
  <si>
    <t>WP.01 Acceptance record</t>
  </si>
  <si>
    <t>20/11/2026 – 20/11/2026</t>
  </si>
  <si>
    <t>Registros de progreso, acuerdos, cambios y acciones.</t>
  </si>
  <si>
    <t>WP.06, WP.05</t>
  </si>
  <si>
    <t>21/09/2026 – 18/11/2026</t>
  </si>
  <si>
    <t>Base: estimación original del Project Plan (396 h). Estimación actual: redistribución propuesta el 08/10 para el Sprint 2 (T04 +2 h por la sesión con la cliente, T14 +4 h por dailies faltantes, T07 −6 h). El total no cambia; se confirma en el Sprint Planning del 12/10.</t>
  </si>
  <si>
    <t>ID 22 registra 2.5 h del SDS el 23/09; contrastar esta fecha con MR-02 (24/09), que aún deja el diseño por iniciar. Daily D-05 (25/09) lo registra en elaboración. Primer borrador del SDS: 06/10. SDS v0.1 revisado internamente el 08/10 y alineado al SRS v0.1; faltan la revisión formal del diseño y su aprobación.</t>
  </si>
  <si>
    <t>Se registraron 4 h de preparación en Sprint 1. Las instrucciones de entrega están en el Project Plan; la Guía de operación final sigue pendiente.</t>
  </si>
  <si>
    <t>142.5 h reales registradas al corte. El ID 268 permanece pendiente sin horas capturadas; otras horas se conciliaron con la bitácora y las minutas.</t>
  </si>
  <si>
    <t>Cerrado el 08/10 (MR-07). 144 h estimadas; 142.5 h reales capturadas (−1.5 h). Cerrar el periodo no implica terminar todas las tareas. SRS v0.1 y SDS v0.1 revisados al cierre.</t>
  </si>
  <si>
    <t>Horas de T05 y T07–T10, MR-03 y dailies D-05/D-10 registradas. La disponibilidad teórica era 3 h por persona al día; los registros la superan el 23/09, 05/10 y 08/10. Pendiente: relacionar commits y casos/logs (WP.14/WP.15).</t>
  </si>
  <si>
    <t>1. Estado de las tareas y horas reales (Sprint 1 conciliado el 10/10; ver Control_Diario)</t>
  </si>
  <si>
    <t>MR-06 del 07/10 y MR-07 del 08/10 mantienen pendientes; SRS v0.1 revisado el 07/10, con anexo de aclaraciones del 08/10.</t>
  </si>
  <si>
    <t>REF-02 corregida al 24/09 en el SRS v0.1 (revisión del 07/10)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</si>
</sst>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0.0%"/>
    <numFmt numFmtId="166" formatCode="\$#,##0.00"/>
  </numFmts>
  <fonts count="13" x14ac:knownFonts="1">
    <font>
      <sz val="11"/>
      <color theme="1"/>
      <name val="Calibri"/>
      <family val="2"/>
    </font>
    <font>
      <sz val="10"/>
      <name val="Arial"/>
    </font>
    <font>
      <b/>
      <sz val="15"/>
      <name val="Arial"/>
    </font>
    <font>
      <b/>
      <sz val="10"/>
      <name val="Arial"/>
    </font>
    <font>
      <sz val="10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9"/>
      <name val="Arial"/>
    </font>
    <font>
      <sz val="10"/>
      <color rgb="FF7F6000"/>
      <name val="Arial"/>
      <family val="2"/>
    </font>
    <font>
      <sz val="10"/>
      <name val="Arial"/>
    </font>
    <font>
      <sz val="18"/>
      <name val="Times New Roman"/>
    </font>
    <font>
      <sz val="17"/>
      <name val="Times New Roman"/>
    </font>
    <font>
      <sz val="16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hair">
        <color rgb="FFD9E1E8"/>
      </left>
      <right style="hair">
        <color rgb="FFD9E1E8"/>
      </right>
      <top style="hair">
        <color rgb="FFD9E1E8"/>
      </top>
      <bottom style="hair">
        <color rgb="FFD9E1E8"/>
      </bottom>
      <diagonal/>
    </border>
    <border>
      <left style="hair">
        <color rgb="FFD9E1E8"/>
      </left>
      <right style="hair">
        <color rgb="FFD9E1E8"/>
      </right>
      <top style="medium">
        <color rgb="FF1F3864"/>
      </top>
      <bottom style="hair">
        <color rgb="FFD9E1E8"/>
      </bottom>
      <diagonal/>
    </border>
    <border>
      <left style="hair">
        <color rgb="FFD9E1E8"/>
      </left>
      <right style="hair">
        <color rgb="FFD9E1E8"/>
      </right>
      <top style="thin">
        <color rgb="FF1F3864"/>
      </top>
      <bottom style="hair">
        <color rgb="FFD9E1E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/>
    <xf numFmtId="43" fontId="9" fillId="0" borderId="0"/>
    <xf numFmtId="41" fontId="9" fillId="0" borderId="0"/>
    <xf numFmtId="44" fontId="9" fillId="0" borderId="0"/>
    <xf numFmtId="42" fontId="9" fillId="0" borderId="0"/>
    <xf numFmtId="9" fontId="9" fillId="0" borderId="0"/>
  </cellStyleXfs>
  <cellXfs count="81">
    <xf numFmtId="0" fontId="0" fillId="0" borderId="0" xfId="0"/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center" vertical="top" wrapText="1"/>
    </xf>
    <xf numFmtId="166" fontId="4" fillId="0" borderId="1" xfId="0" applyNumberFormat="1" applyFont="1" applyBorder="1" applyAlignment="1">
      <alignment horizontal="center" vertical="top" wrapText="1"/>
    </xf>
    <xf numFmtId="166" fontId="4" fillId="3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8" fillId="0" borderId="0" xfId="0" applyFont="1" applyAlignment="1">
      <alignment wrapText="1"/>
    </xf>
    <xf numFmtId="0" fontId="9" fillId="0" borderId="3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2" fontId="9" fillId="0" borderId="3" xfId="0" applyNumberFormat="1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 wrapText="1"/>
    </xf>
    <xf numFmtId="2" fontId="9" fillId="6" borderId="3" xfId="0" applyNumberFormat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2" fontId="9" fillId="6" borderId="4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2" fontId="9" fillId="0" borderId="5" xfId="0" applyNumberFormat="1" applyFont="1" applyBorder="1" applyAlignment="1">
      <alignment horizontal="center" vertical="center" wrapText="1"/>
    </xf>
    <xf numFmtId="2" fontId="9" fillId="6" borderId="5" xfId="0" applyNumberFormat="1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12" fillId="0" borderId="8" xfId="0" applyFont="1" applyBorder="1" applyAlignment="1">
      <alignment horizontal="center" vertical="center"/>
    </xf>
    <xf numFmtId="0" fontId="0" fillId="0" borderId="11" xfId="0" applyBorder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10" xfId="0" applyBorder="1"/>
    <xf numFmtId="0" fontId="4" fillId="3" borderId="2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0" borderId="12" xfId="0" applyFont="1" applyBorder="1"/>
    <xf numFmtId="165" fontId="3" fillId="0" borderId="2" xfId="0" applyNumberFormat="1" applyFont="1" applyBorder="1" applyAlignment="1">
      <alignment horizontal="center" vertical="top" wrapText="1"/>
    </xf>
    <xf numFmtId="165" fontId="3" fillId="0" borderId="6" xfId="0" applyNumberFormat="1" applyFont="1" applyBorder="1" applyAlignment="1">
      <alignment horizontal="center" vertical="top" wrapText="1"/>
    </xf>
    <xf numFmtId="165" fontId="3" fillId="0" borderId="7" xfId="0" applyNumberFormat="1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wrapText="1"/>
    </xf>
    <xf numFmtId="2" fontId="3" fillId="0" borderId="6" xfId="0" applyNumberFormat="1" applyFont="1" applyBorder="1" applyAlignment="1">
      <alignment horizontal="center" vertical="top" wrapText="1"/>
    </xf>
    <xf numFmtId="2" fontId="3" fillId="0" borderId="7" xfId="0" applyNumberFormat="1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wrapText="1"/>
    </xf>
    <xf numFmtId="164" fontId="3" fillId="0" borderId="6" xfId="0" applyNumberFormat="1" applyFont="1" applyBorder="1" applyAlignment="1">
      <alignment horizontal="center" vertical="top" wrapText="1"/>
    </xf>
    <xf numFmtId="164" fontId="3" fillId="0" borderId="7" xfId="0" applyNumberFormat="1" applyFont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7" fillId="0" borderId="0" xfId="0" applyFont="1" applyAlignment="1">
      <alignment wrapText="1"/>
    </xf>
  </cellXfs>
  <cellStyles count="6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Percent" xfId="5" xr:uid="{00000000-0005-0000-0000-000005000000}"/>
  </cellStyles>
  <dxfs count="25"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699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24000" cy="11430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628775" cy="90487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Diario" displayName="RegistroDiario" ref="A1:M270" totalsRowShown="0">
  <autoFilter ref="A1:M270" xr:uid="{00000000-0009-0000-0100-000001000000}"/>
  <tableColumns count="13">
    <tableColumn id="1" xr3:uid="{00000000-0010-0000-0000-000001000000}" name="ID"/>
    <tableColumn id="2" xr3:uid="{00000000-0010-0000-0000-000002000000}" name="Sprint / Periodo"/>
    <tableColumn id="3" xr3:uid="{00000000-0010-0000-0000-000003000000}" name="Fecha"/>
    <tableColumn id="4" xr3:uid="{00000000-0010-0000-0000-000004000000}" name="Integrante"/>
    <tableColumn id="5" xr3:uid="{00000000-0010-0000-0000-000005000000}" name="Rol"/>
    <tableColumn id="6" xr3:uid="{00000000-0010-0000-0000-000006000000}" name="Tarea PP"/>
    <tableColumn id="7" xr3:uid="{00000000-0010-0000-0000-000007000000}" name="Código ISO"/>
    <tableColumn id="8" xr3:uid="{00000000-0010-0000-0000-000008000000}" name="Descripción de la tarea"/>
    <tableColumn id="9" xr3:uid="{00000000-0010-0000-0000-000009000000}" name="Work Product"/>
    <tableColumn id="10" xr3:uid="{00000000-0010-0000-0000-00000A000000}" name="Horas estimadas"/>
    <tableColumn id="11" xr3:uid="{00000000-0010-0000-0000-00000B000000}" name="Horas reales"/>
    <tableColumn id="12" xr3:uid="{00000000-0010-0000-0000-00000C000000}" name="Estado"/>
    <tableColumn id="14" xr3:uid="{00000000-0010-0000-0000-00000E000000}" name="Revisar horas al cor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/>
  </sheetViews>
  <sheetFormatPr baseColWidth="10" defaultColWidth="8.88671875" defaultRowHeight="14.4" x14ac:dyDescent="0.3"/>
  <cols>
    <col min="1" max="8" width="13" customWidth="1"/>
  </cols>
  <sheetData>
    <row r="1" spans="1:8" ht="10.050000000000001" customHeight="1" x14ac:dyDescent="0.3"/>
    <row r="11" spans="1:8" ht="30" customHeight="1" x14ac:dyDescent="0.3">
      <c r="A11" s="51" t="s">
        <v>0</v>
      </c>
      <c r="B11" s="52"/>
      <c r="C11" s="52"/>
      <c r="D11" s="52"/>
      <c r="E11" s="52"/>
      <c r="F11" s="52"/>
      <c r="G11" s="52"/>
      <c r="H11" s="52"/>
    </row>
    <row r="12" spans="1:8" ht="25.95" customHeight="1" x14ac:dyDescent="0.3">
      <c r="A12" s="56" t="s">
        <v>1</v>
      </c>
      <c r="B12" s="52"/>
      <c r="C12" s="52"/>
      <c r="D12" s="52"/>
      <c r="E12" s="52"/>
      <c r="F12" s="52"/>
      <c r="G12" s="52"/>
      <c r="H12" s="52"/>
    </row>
    <row r="13" spans="1:8" ht="25.95" customHeight="1" x14ac:dyDescent="0.3">
      <c r="A13" s="56" t="s">
        <v>2</v>
      </c>
      <c r="B13" s="52"/>
      <c r="C13" s="52"/>
      <c r="D13" s="52"/>
      <c r="E13" s="52"/>
      <c r="F13" s="52"/>
      <c r="G13" s="52"/>
      <c r="H13" s="52"/>
    </row>
    <row r="14" spans="1:8" ht="30" customHeight="1" x14ac:dyDescent="0.3"/>
    <row r="15" spans="1:8" ht="22.05" customHeight="1" x14ac:dyDescent="0.3">
      <c r="A15" s="55" t="s">
        <v>3</v>
      </c>
      <c r="B15" s="52"/>
      <c r="C15" s="52"/>
      <c r="D15" s="52"/>
      <c r="E15" s="52"/>
      <c r="F15" s="52"/>
      <c r="G15" s="52"/>
      <c r="H15" s="52"/>
    </row>
    <row r="16" spans="1:8" ht="22.05" customHeight="1" x14ac:dyDescent="0.3">
      <c r="A16" s="55" t="s">
        <v>4</v>
      </c>
      <c r="B16" s="52"/>
      <c r="C16" s="52"/>
      <c r="D16" s="52"/>
      <c r="E16" s="52"/>
      <c r="F16" s="52"/>
      <c r="G16" s="52"/>
      <c r="H16" s="52"/>
    </row>
    <row r="17" spans="1:8" ht="22.05" customHeight="1" x14ac:dyDescent="0.3">
      <c r="A17" s="55" t="s">
        <v>5</v>
      </c>
      <c r="B17" s="52"/>
      <c r="C17" s="52"/>
      <c r="D17" s="52"/>
      <c r="E17" s="52"/>
      <c r="F17" s="52"/>
      <c r="G17" s="52"/>
      <c r="H17" s="52"/>
    </row>
    <row r="18" spans="1:8" ht="22.05" customHeight="1" x14ac:dyDescent="0.3">
      <c r="A18" s="55" t="s">
        <v>6</v>
      </c>
      <c r="B18" s="52"/>
      <c r="C18" s="52"/>
      <c r="D18" s="52"/>
      <c r="E18" s="52"/>
      <c r="F18" s="52"/>
      <c r="G18" s="52"/>
      <c r="H18" s="52"/>
    </row>
    <row r="19" spans="1:8" ht="25.95" customHeight="1" x14ac:dyDescent="0.3">
      <c r="A19" s="53" t="s">
        <v>7</v>
      </c>
      <c r="B19" s="54"/>
      <c r="C19" s="54"/>
      <c r="D19" s="54"/>
      <c r="E19" s="54"/>
      <c r="F19" s="54"/>
      <c r="G19" s="54"/>
      <c r="H19" s="54"/>
    </row>
    <row r="20" spans="1:8" ht="30" customHeight="1" x14ac:dyDescent="0.3">
      <c r="A20" s="57" t="s">
        <v>8</v>
      </c>
      <c r="B20" s="58"/>
      <c r="C20" s="58"/>
      <c r="D20" s="58"/>
      <c r="E20" s="58"/>
      <c r="F20" s="58"/>
      <c r="G20" s="58"/>
      <c r="H20" s="58"/>
    </row>
    <row r="21" spans="1:8" ht="24" customHeight="1" x14ac:dyDescent="0.3">
      <c r="A21" s="55" t="s">
        <v>9</v>
      </c>
      <c r="B21" s="52"/>
      <c r="C21" s="52"/>
      <c r="D21" s="52"/>
      <c r="E21" s="52"/>
      <c r="F21" s="52"/>
      <c r="G21" s="52"/>
      <c r="H21" s="52"/>
    </row>
    <row r="22" spans="1:8" ht="24" customHeight="1" x14ac:dyDescent="0.3">
      <c r="A22" s="55" t="s">
        <v>10</v>
      </c>
      <c r="B22" s="52"/>
      <c r="C22" s="52"/>
      <c r="D22" s="52"/>
      <c r="E22" s="52"/>
      <c r="F22" s="52"/>
      <c r="G22" s="52"/>
      <c r="H22" s="52"/>
    </row>
  </sheetData>
  <mergeCells count="11">
    <mergeCell ref="A11:H11"/>
    <mergeCell ref="A19:H19"/>
    <mergeCell ref="A22:H22"/>
    <mergeCell ref="A17:H17"/>
    <mergeCell ref="A12:H12"/>
    <mergeCell ref="A18:H18"/>
    <mergeCell ref="A21:H21"/>
    <mergeCell ref="A15:H15"/>
    <mergeCell ref="A20:H20"/>
    <mergeCell ref="A16:H16"/>
    <mergeCell ref="A13:H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"/>
  <sheetViews>
    <sheetView workbookViewId="0">
      <pane ySplit="2" topLeftCell="A76" activePane="bottomLeft" state="frozen"/>
      <selection pane="bottomLeft" activeCell="J82" sqref="J82"/>
    </sheetView>
  </sheetViews>
  <sheetFormatPr baseColWidth="10" defaultColWidth="8.6640625" defaultRowHeight="14.4" x14ac:dyDescent="0.3"/>
  <cols>
    <col min="1" max="1" width="30" customWidth="1"/>
    <col min="2" max="2" width="40" customWidth="1"/>
    <col min="3" max="3" width="14" customWidth="1"/>
    <col min="4" max="6" width="11" customWidth="1"/>
    <col min="7" max="7" width="12" customWidth="1"/>
    <col min="8" max="8" width="13" customWidth="1"/>
    <col min="9" max="9" width="52" customWidth="1"/>
  </cols>
  <sheetData>
    <row r="1" spans="1:9" ht="19.2" customHeight="1" x14ac:dyDescent="0.35">
      <c r="A1" s="7" t="s">
        <v>11</v>
      </c>
    </row>
    <row r="3" spans="1:9" ht="15" customHeight="1" x14ac:dyDescent="0.3">
      <c r="A3" s="8" t="s">
        <v>12</v>
      </c>
      <c r="B3" s="61" t="s">
        <v>13</v>
      </c>
      <c r="C3" s="62"/>
      <c r="D3" s="62"/>
      <c r="E3" s="62"/>
      <c r="F3" s="62"/>
      <c r="G3" s="62"/>
      <c r="H3" s="62"/>
      <c r="I3" s="62"/>
    </row>
    <row r="4" spans="1:9" ht="15" customHeight="1" x14ac:dyDescent="0.3">
      <c r="A4" s="8" t="s">
        <v>14</v>
      </c>
      <c r="B4" s="61" t="s">
        <v>15</v>
      </c>
      <c r="C4" s="62"/>
      <c r="D4" s="62"/>
      <c r="E4" s="62"/>
      <c r="F4" s="62"/>
      <c r="G4" s="62"/>
      <c r="H4" s="62"/>
      <c r="I4" s="62"/>
    </row>
    <row r="5" spans="1:9" ht="15" customHeight="1" x14ac:dyDescent="0.3">
      <c r="A5" s="8" t="s">
        <v>16</v>
      </c>
      <c r="B5" s="61" t="s">
        <v>5</v>
      </c>
      <c r="C5" s="62"/>
      <c r="D5" s="62"/>
      <c r="E5" s="62"/>
      <c r="F5" s="62"/>
      <c r="G5" s="62"/>
      <c r="H5" s="62"/>
      <c r="I5" s="62"/>
    </row>
    <row r="6" spans="1:9" ht="30" customHeight="1" x14ac:dyDescent="0.3">
      <c r="A6" s="8" t="s">
        <v>17</v>
      </c>
      <c r="B6" s="45" t="s">
        <v>18</v>
      </c>
      <c r="C6" s="9">
        <v>46303</v>
      </c>
    </row>
    <row r="7" spans="1:9" x14ac:dyDescent="0.3">
      <c r="A7" s="8" t="s">
        <v>19</v>
      </c>
      <c r="B7" s="61" t="str">
        <f>IF(C6&lt;=DATE(2026,9,18),"Sprint 0",IF(C6&lt;=DATE(2026,10,8),"Sprint 1",IF(C6&lt;DATE(2026,10,12),"Entre Sprint 1 y Sprint 2",IF(C6&lt;=DATE(2026,10,26),"Sprint 2",IF(C6&lt;=DATE(2026,11,12),"Sprint 3",IF(C6&lt;DATE(2026,11,16),"Entre Sprint 3 y entrega","Revisión y entrega"))))))</f>
        <v>Sprint 1</v>
      </c>
      <c r="C7" s="62"/>
      <c r="D7" s="62"/>
      <c r="E7" s="62"/>
      <c r="F7" s="62"/>
      <c r="G7" s="62"/>
      <c r="H7" s="62"/>
      <c r="I7" s="62"/>
    </row>
    <row r="9" spans="1:9" x14ac:dyDescent="0.3">
      <c r="A9" s="67" t="s">
        <v>437</v>
      </c>
      <c r="B9" s="67"/>
      <c r="C9" s="67"/>
      <c r="D9" s="67"/>
      <c r="E9" s="67"/>
      <c r="F9" s="67"/>
      <c r="G9" s="67"/>
      <c r="H9" s="67"/>
      <c r="I9" s="67"/>
    </row>
    <row r="10" spans="1:9" ht="43.05" customHeight="1" x14ac:dyDescent="0.3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27</v>
      </c>
      <c r="I10" s="6" t="s">
        <v>28</v>
      </c>
    </row>
    <row r="11" spans="1:9" ht="55.95" customHeight="1" x14ac:dyDescent="0.3">
      <c r="A11" s="10" t="s">
        <v>29</v>
      </c>
      <c r="B11" s="5" t="s">
        <v>30</v>
      </c>
      <c r="C11" s="5" t="s">
        <v>31</v>
      </c>
      <c r="D11" s="11">
        <f>SUMIF(Control_Diario!$F$2:$F$300,A11,Control_Diario!$J$2:$J$300)</f>
        <v>12</v>
      </c>
      <c r="E11" s="11">
        <f>SUMIFS(Control_Diario!$J$2:$J$300,Control_Diario!$F$2:$F$300,A11,Control_Diario!$C$2:$C$300,"&lt;="&amp;FechaCorte)</f>
        <v>12</v>
      </c>
      <c r="F11" s="11">
        <f>SUMIFS(Control_Diario!$K$2:$K$300,Control_Diario!$F$2:$F$300,A11,Control_Diario!$C$2:$C$300,"&lt;="&amp;FechaCorte)</f>
        <v>12</v>
      </c>
      <c r="G11" s="11">
        <f t="shared" ref="G11:G24" si="0">IF(AND(F11=0,E11=0),"",F11-E11)</f>
        <v>0</v>
      </c>
      <c r="H11" s="2" t="s">
        <v>32</v>
      </c>
      <c r="I11" s="46" t="s">
        <v>33</v>
      </c>
    </row>
    <row r="12" spans="1:9" ht="30" customHeight="1" x14ac:dyDescent="0.3">
      <c r="A12" s="10" t="s">
        <v>34</v>
      </c>
      <c r="B12" s="5" t="s">
        <v>35</v>
      </c>
      <c r="C12" s="5" t="s">
        <v>36</v>
      </c>
      <c r="D12" s="11">
        <f>SUMIF(Control_Diario!$F$2:$F$300,A12,Control_Diario!$J$2:$J$300)</f>
        <v>12</v>
      </c>
      <c r="E12" s="11">
        <f>SUMIFS(Control_Diario!$J$2:$J$300,Control_Diario!$F$2:$F$300,A12,Control_Diario!$C$2:$C$300,"&lt;="&amp;FechaCorte)</f>
        <v>10</v>
      </c>
      <c r="F12" s="11">
        <f>SUMIFS(Control_Diario!$K$2:$K$300,Control_Diario!$F$2:$F$300,A12,Control_Diario!$C$2:$C$300,"&lt;="&amp;FechaCorte)</f>
        <v>10</v>
      </c>
      <c r="G12" s="11">
        <f t="shared" si="0"/>
        <v>0</v>
      </c>
      <c r="H12" s="2" t="s">
        <v>32</v>
      </c>
      <c r="I12" s="1" t="inlineStr">
        <is>
          <t xml:space="preserve">MR-02: revisión del plan con el equipo el 22/09; entorno Android reportado. iOS pendiente por falta de Mac/Xcode.</t>
        </is>
      </c>
    </row>
    <row r="13" spans="1:9" ht="64.95" customHeight="1" x14ac:dyDescent="0.3">
      <c r="A13" s="10" t="s">
        <v>38</v>
      </c>
      <c r="B13" s="5" t="s">
        <v>39</v>
      </c>
      <c r="C13" s="5" t="s">
        <v>40</v>
      </c>
      <c r="D13" s="11">
        <f>SUMIF(Control_Diario!$F$2:$F$300,A13,Control_Diario!$J$2:$J$300)</f>
        <v>24</v>
      </c>
      <c r="E13" s="11">
        <f>SUMIFS(Control_Diario!$J$2:$J$300,Control_Diario!$F$2:$F$300,A13,Control_Diario!$C$2:$C$300,"&lt;="&amp;FechaCorte)</f>
        <v>18</v>
      </c>
      <c r="F13" s="11">
        <f>SUMIFS(Control_Diario!$K$2:$K$300,Control_Diario!$F$2:$F$300,A13,Control_Diario!$C$2:$C$300,"&lt;="&amp;FechaCorte)</f>
        <v>43.75</v>
      </c>
      <c r="G13" s="11">
        <f t="shared" si="0"/>
        <v>25.75</v>
      </c>
      <c r="H13" s="2" t="s">
        <v>32</v>
      </c>
      <c r="I13" s="46" t="s">
        <v>41</v>
      </c>
    </row>
    <row r="14" spans="1:9" ht="30" customHeight="1" x14ac:dyDescent="0.3">
      <c r="A14" s="10" t="s">
        <v>42</v>
      </c>
      <c r="B14" s="5" t="s">
        <v>43</v>
      </c>
      <c r="C14" s="5" t="s">
        <v>44</v>
      </c>
      <c r="D14" s="11">
        <f>SUMIF(Control_Diario!$F$2:$F$300,A14,Control_Diario!$J$2:$J$300)</f>
        <v>14</v>
      </c>
      <c r="E14" s="11">
        <f>SUMIFS(Control_Diario!$J$2:$J$300,Control_Diario!$F$2:$F$300,A14,Control_Diario!$C$2:$C$300,"&lt;="&amp;FechaCorte)</f>
        <v>8.5</v>
      </c>
      <c r="F14" s="11">
        <f>SUMIFS(Control_Diario!$K$2:$K$300,Control_Diario!$F$2:$F$300,A14,Control_Diario!$C$2:$C$300,"&lt;="&amp;FechaCorte)</f>
        <v>3.75</v>
      </c>
      <c r="G14" s="11">
        <f t="shared" si="0"/>
        <v>-4.75</v>
      </c>
      <c r="H14" s="2" t="s">
        <v>32</v>
      </c>
      <c r="I14" s="1" t="s">
        <v>45</v>
      </c>
    </row>
    <row r="15" spans="1:9" ht="69" customHeight="1" x14ac:dyDescent="0.3">
      <c r="A15" s="10" t="s">
        <v>46</v>
      </c>
      <c r="B15" s="5" t="s">
        <v>47</v>
      </c>
      <c r="C15" s="5" t="s">
        <v>48</v>
      </c>
      <c r="D15" s="11">
        <f>SUMIF(Control_Diario!$F$2:$F$300,A15,Control_Diario!$J$2:$J$300)</f>
        <v>24</v>
      </c>
      <c r="E15" s="11">
        <f>SUMIFS(Control_Diario!$J$2:$J$300,Control_Diario!$F$2:$F$300,A15,Control_Diario!$C$2:$C$300,"&lt;="&amp;FechaCorte)</f>
        <v>13</v>
      </c>
      <c r="F15" s="11">
        <f>SUMIFS(Control_Diario!$K$2:$K$300,Control_Diario!$F$2:$F$300,A15,Control_Diario!$C$2:$C$300,"&lt;="&amp;FechaCorte)</f>
        <v>10.25</v>
      </c>
      <c r="G15" s="11">
        <f t="shared" si="0"/>
        <v>-2.75</v>
      </c>
      <c r="H15" s="2" t="s">
        <v>32</v>
      </c>
      <c r="I15" s="46" t="inlineStr">
        <is>
          <t xml:space="preserve">El análisis de componentes e interfaces inició el 23/09 (ID 22), como planeó la Daily D-03, después de la revisión del Project Plan en MR-02 (22/09). Daily D-05 (25/09) lo registra en elaboración. Primer borrador del SDS: 06/10. SDS v0.1 revisado internamente el 08/10 y alineado al SRS v0.1; faltan la revisión formal del diseño y su aprobación.</t>
        </is>
      </c>
    </row>
    <row r="16" spans="1:9" ht="43.05" customHeight="1" x14ac:dyDescent="0.3">
      <c r="A16" s="10" t="s">
        <v>49</v>
      </c>
      <c r="B16" s="5" t="s">
        <v>50</v>
      </c>
      <c r="C16" s="5" t="s">
        <v>51</v>
      </c>
      <c r="D16" s="11">
        <f>SUMIF(Control_Diario!$F$2:$F$300,A16,Control_Diario!$J$2:$J$300)</f>
        <v>12</v>
      </c>
      <c r="E16" s="11">
        <f>SUMIFS(Control_Diario!$J$2:$J$300,Control_Diario!$F$2:$F$300,A16,Control_Diario!$C$2:$C$300,"&lt;="&amp;FechaCorte)</f>
        <v>6.5</v>
      </c>
      <c r="F16" s="11">
        <f>SUMIFS(Control_Diario!$K$2:$K$300,Control_Diario!$F$2:$F$300,A16,Control_Diario!$C$2:$C$300,"&lt;="&amp;FechaCorte)</f>
        <v>5.25</v>
      </c>
      <c r="G16" s="11">
        <f t="shared" si="0"/>
        <v>-1.25</v>
      </c>
      <c r="H16" s="2" t="s">
        <v>32</v>
      </c>
      <c r="I16" s="1" t="s">
        <v>52</v>
      </c>
    </row>
    <row r="17" spans="1:9" ht="55.05" customHeight="1" x14ac:dyDescent="0.3">
      <c r="A17" s="10" t="s">
        <v>53</v>
      </c>
      <c r="B17" s="5" t="s">
        <v>54</v>
      </c>
      <c r="C17" s="5" t="s">
        <v>55</v>
      </c>
      <c r="D17" s="11">
        <f>SUMIF(Control_Diario!$F$2:$F$300,A17,Control_Diario!$J$2:$J$300)</f>
        <v>90</v>
      </c>
      <c r="E17" s="11">
        <f>SUMIFS(Control_Diario!$J$2:$J$300,Control_Diario!$F$2:$F$300,A17,Control_Diario!$C$2:$C$300,"&lt;="&amp;FechaCorte)</f>
        <v>24</v>
      </c>
      <c r="F17" s="11">
        <f>SUMIFS(Control_Diario!$K$2:$K$300,Control_Diario!$F$2:$F$300,A17,Control_Diario!$C$2:$C$300,"&lt;="&amp;FechaCorte)</f>
        <v>12.25</v>
      </c>
      <c r="G17" s="11">
        <f t="shared" si="0"/>
        <v>-11.75</v>
      </c>
      <c r="H17" s="2" t="s">
        <v>32</v>
      </c>
      <c r="I17" s="1" t="s">
        <v>56</v>
      </c>
    </row>
    <row r="18" spans="1:9" ht="43.05" customHeight="1" x14ac:dyDescent="0.3">
      <c r="A18" s="10" t="s">
        <v>57</v>
      </c>
      <c r="B18" s="5" t="s">
        <v>58</v>
      </c>
      <c r="C18" s="5" t="s">
        <v>59</v>
      </c>
      <c r="D18" s="11">
        <f>SUMIF(Control_Diario!$F$2:$F$300,A18,Control_Diario!$J$2:$J$300)</f>
        <v>36</v>
      </c>
      <c r="E18" s="11">
        <f>SUMIFS(Control_Diario!$J$2:$J$300,Control_Diario!$F$2:$F$300,A18,Control_Diario!$C$2:$C$300,"&lt;="&amp;FechaCorte)</f>
        <v>8</v>
      </c>
      <c r="F18" s="11">
        <f>SUMIFS(Control_Diario!$K$2:$K$300,Control_Diario!$F$2:$F$300,A18,Control_Diario!$C$2:$C$300,"&lt;="&amp;FechaCorte)</f>
        <v>3.75</v>
      </c>
      <c r="G18" s="11">
        <f t="shared" si="0"/>
        <v>-4.25</v>
      </c>
      <c r="H18" s="2" t="s">
        <v>32</v>
      </c>
      <c r="I18" s="1" t="s">
        <v>60</v>
      </c>
    </row>
    <row r="19" spans="1:9" ht="30" customHeight="1" x14ac:dyDescent="0.3">
      <c r="A19" s="10" t="s">
        <v>61</v>
      </c>
      <c r="B19" s="5" t="s">
        <v>62</v>
      </c>
      <c r="C19" s="5" t="s">
        <v>63</v>
      </c>
      <c r="D19" s="11">
        <f>SUMIF(Control_Diario!$F$2:$F$300,A19,Control_Diario!$J$2:$J$300)</f>
        <v>18</v>
      </c>
      <c r="E19" s="11">
        <f>SUMIFS(Control_Diario!$J$2:$J$300,Control_Diario!$F$2:$F$300,A19,Control_Diario!$C$2:$C$300,"&lt;="&amp;FechaCorte)</f>
        <v>4</v>
      </c>
      <c r="F19" s="11">
        <f>SUMIFS(Control_Diario!$K$2:$K$300,Control_Diario!$F$2:$F$300,A19,Control_Diario!$C$2:$C$300,"&lt;="&amp;FechaCorte)</f>
        <v>1.25</v>
      </c>
      <c r="G19" s="11">
        <f t="shared" si="0"/>
        <v>-2.75</v>
      </c>
      <c r="H19" s="2" t="s">
        <v>32</v>
      </c>
      <c r="I19" s="1" t="s">
        <v>64</v>
      </c>
    </row>
    <row r="20" spans="1:9" ht="30" customHeight="1" x14ac:dyDescent="0.3">
      <c r="A20" s="10" t="s">
        <v>65</v>
      </c>
      <c r="B20" s="5" t="s">
        <v>66</v>
      </c>
      <c r="C20" s="5" t="s">
        <v>67</v>
      </c>
      <c r="D20" s="11">
        <f>SUMIF(Control_Diario!$F$2:$F$300,A20,Control_Diario!$J$2:$J$300)</f>
        <v>30</v>
      </c>
      <c r="E20" s="11">
        <f>SUMIFS(Control_Diario!$J$2:$J$300,Control_Diario!$F$2:$F$300,A20,Control_Diario!$C$2:$C$300,"&lt;="&amp;FechaCorte)</f>
        <v>6</v>
      </c>
      <c r="F20" s="11">
        <f>SUMIFS(Control_Diario!$K$2:$K$300,Control_Diario!$F$2:$F$300,A20,Control_Diario!$C$2:$C$300,"&lt;="&amp;FechaCorte)</f>
        <v>2.25</v>
      </c>
      <c r="G20" s="11">
        <f t="shared" si="0"/>
        <v>-3.75</v>
      </c>
      <c r="H20" s="2" t="s">
        <v>32</v>
      </c>
      <c r="I20" s="1" t="s">
        <v>68</v>
      </c>
    </row>
    <row r="21" spans="1:9" ht="43.05" customHeight="1" x14ac:dyDescent="0.3">
      <c r="A21" s="10" t="s">
        <v>69</v>
      </c>
      <c r="B21" s="5" t="s">
        <v>70</v>
      </c>
      <c r="C21" s="5" t="s">
        <v>71</v>
      </c>
      <c r="D21" s="11">
        <f>SUMIF(Control_Diario!$F$2:$F$300,A21,Control_Diario!$J$2:$J$300)</f>
        <v>16</v>
      </c>
      <c r="E21" s="11">
        <f>SUMIFS(Control_Diario!$J$2:$J$300,Control_Diario!$F$2:$F$300,A21,Control_Diario!$C$2:$C$300,"&lt;="&amp;FechaCorte)</f>
        <v>4</v>
      </c>
      <c r="F21" s="11">
        <f>SUMIFS(Control_Diario!$K$2:$K$300,Control_Diario!$F$2:$F$300,A21,Control_Diario!$C$2:$C$300,"&lt;="&amp;FechaCorte)</f>
        <v>7</v>
      </c>
      <c r="G21" s="11">
        <f t="shared" si="0"/>
        <v>3</v>
      </c>
      <c r="H21" s="2" t="s">
        <v>32</v>
      </c>
      <c r="I21" s="1" t="s">
        <v>72</v>
      </c>
    </row>
    <row r="22" spans="1:9" ht="49.05" customHeight="1" x14ac:dyDescent="0.3">
      <c r="A22" s="10" t="s">
        <v>73</v>
      </c>
      <c r="B22" s="5" t="s">
        <v>74</v>
      </c>
      <c r="C22" s="5" t="s">
        <v>75</v>
      </c>
      <c r="D22" s="11">
        <f>SUMIF(Control_Diario!$F$2:$F$300,A22,Control_Diario!$J$2:$J$300)</f>
        <v>32</v>
      </c>
      <c r="E22" s="11">
        <f>SUMIFS(Control_Diario!$J$2:$J$300,Control_Diario!$F$2:$F$300,A22,Control_Diario!$C$2:$C$300,"&lt;="&amp;FechaCorte)</f>
        <v>4</v>
      </c>
      <c r="F22" s="11">
        <f>SUMIFS(Control_Diario!$K$2:$K$300,Control_Diario!$F$2:$F$300,A22,Control_Diario!$C$2:$C$300,"&lt;="&amp;FechaCorte)</f>
        <v>4</v>
      </c>
      <c r="G22" s="11">
        <f t="shared" si="0"/>
        <v>0</v>
      </c>
      <c r="H22" s="2" t="s">
        <v>76</v>
      </c>
      <c r="I22" s="1" t="s">
        <v>433</v>
      </c>
    </row>
    <row r="23" spans="1:9" ht="30" customHeight="1" x14ac:dyDescent="0.3">
      <c r="A23" s="10" t="s">
        <v>77</v>
      </c>
      <c r="B23" s="5" t="s">
        <v>78</v>
      </c>
      <c r="C23" s="5" t="s">
        <v>79</v>
      </c>
      <c r="D23" s="11">
        <f>SUMIF(Control_Diario!$F$2:$F$300,A23,Control_Diario!$J$2:$J$300)</f>
        <v>8</v>
      </c>
      <c r="E23" s="11">
        <f>SUMIFS(Control_Diario!$J$2:$J$300,Control_Diario!$F$2:$F$300,A23,Control_Diario!$C$2:$C$300,"&lt;="&amp;FechaCorte)</f>
        <v>0</v>
      </c>
      <c r="F23" s="11">
        <f>SUMIFS(Control_Diario!$K$2:$K$300,Control_Diario!$F$2:$F$300,A23,Control_Diario!$C$2:$C$300,"&lt;="&amp;FechaCorte)</f>
        <v>0</v>
      </c>
      <c r="G23" s="11" t="str">
        <f t="shared" si="0"/>
        <v/>
      </c>
      <c r="H23" s="2" t="s">
        <v>76</v>
      </c>
      <c r="I23" s="1" t="s">
        <v>80</v>
      </c>
    </row>
    <row r="24" spans="1:9" ht="55.95" customHeight="1" x14ac:dyDescent="0.3">
      <c r="A24" s="10" t="s">
        <v>81</v>
      </c>
      <c r="B24" s="5" t="s">
        <v>82</v>
      </c>
      <c r="C24" s="5" t="s">
        <v>83</v>
      </c>
      <c r="D24" s="11">
        <f>SUMIF(Control_Diario!$F$2:$F$300,A24,Control_Diario!$J$2:$J$300)</f>
        <v>68</v>
      </c>
      <c r="E24" s="11">
        <f>SUMIFS(Control_Diario!$J$2:$J$300,Control_Diario!$F$2:$F$300,A24,Control_Diario!$C$2:$C$300,"&lt;="&amp;FechaCorte)</f>
        <v>26</v>
      </c>
      <c r="F24" s="11">
        <f>SUMIFS(Control_Diario!$K$2:$K$300,Control_Diario!$F$2:$F$300,A24,Control_Diario!$C$2:$C$300,"&lt;="&amp;FechaCorte)</f>
        <v>27.5</v>
      </c>
      <c r="G24" s="11">
        <f t="shared" si="0"/>
        <v>1.5</v>
      </c>
      <c r="H24" s="2" t="s">
        <v>32</v>
      </c>
      <c r="I24" s="1" t="s">
        <v>84</v>
      </c>
    </row>
    <row r="25" spans="1:9" x14ac:dyDescent="0.3">
      <c r="A25" s="10" t="s">
        <v>85</v>
      </c>
      <c r="D25" s="3">
        <f>SUM(D11:D24)</f>
        <v>396</v>
      </c>
      <c r="E25" s="3">
        <f>SUM(E11:E24)</f>
        <v>144</v>
      </c>
      <c r="F25" s="3">
        <f>SUM(F11:F24)</f>
        <v>143</v>
      </c>
      <c r="G25" s="3">
        <f>F25-E25</f>
        <v>-1</v>
      </c>
      <c r="H25" s="5"/>
      <c r="I25" s="5"/>
    </row>
    <row r="27" spans="1:9" x14ac:dyDescent="0.3">
      <c r="A27" s="67" t="s">
        <v>86</v>
      </c>
      <c r="B27" s="67"/>
      <c r="C27" s="67"/>
      <c r="D27" s="67"/>
      <c r="E27" s="67"/>
      <c r="F27" s="67"/>
      <c r="G27" s="67"/>
      <c r="H27" s="67"/>
      <c r="I27" s="67"/>
    </row>
    <row r="28" spans="1:9" ht="15" customHeight="1" x14ac:dyDescent="0.3">
      <c r="A28" s="6" t="s">
        <v>87</v>
      </c>
      <c r="B28" s="64" t="s">
        <v>88</v>
      </c>
      <c r="C28" s="66"/>
      <c r="D28" s="64" t="s">
        <v>89</v>
      </c>
      <c r="E28" s="65"/>
      <c r="F28" s="65"/>
      <c r="G28" s="65"/>
      <c r="H28" s="66"/>
      <c r="I28" s="6" t="s">
        <v>90</v>
      </c>
    </row>
    <row r="29" spans="1:9" ht="15" customHeight="1" x14ac:dyDescent="0.3">
      <c r="A29" s="12" t="s">
        <v>91</v>
      </c>
      <c r="B29" s="61" t="s">
        <v>92</v>
      </c>
      <c r="C29" s="63"/>
      <c r="D29" s="68">
        <f>IF(D25=0,0,E25/D25)</f>
        <v>0.36363636363636365</v>
      </c>
      <c r="E29" s="69"/>
      <c r="F29" s="69"/>
      <c r="G29" s="69"/>
      <c r="H29" s="70"/>
      <c r="I29" s="5" t="s">
        <v>93</v>
      </c>
    </row>
    <row r="30" spans="1:9" ht="15" customHeight="1" x14ac:dyDescent="0.3">
      <c r="A30" s="12" t="s">
        <v>94</v>
      </c>
      <c r="B30" s="61" t="s">
        <v>95</v>
      </c>
      <c r="C30" s="63"/>
      <c r="D30" s="68">
        <f>IF(D25=0,0,SUMIFS(Control_Diario!$J$2:$J$300,Control_Diario!$L$2:$L$300,"Completado",Control_Diario!$C$2:$C$300,"&lt;="&amp;FechaCorte)/D25)</f>
        <v>0.3383838383838384</v>
      </c>
      <c r="E30" s="69"/>
      <c r="F30" s="69"/>
      <c r="G30" s="69"/>
      <c r="H30" s="70"/>
      <c r="I30" s="5" t="s">
        <v>96</v>
      </c>
    </row>
    <row r="31" spans="1:9" ht="15" customHeight="1" x14ac:dyDescent="0.3">
      <c r="A31" s="12" t="s">
        <v>97</v>
      </c>
      <c r="B31" s="61" t="s">
        <v>98</v>
      </c>
      <c r="C31" s="63"/>
      <c r="D31" s="71">
        <f>IF(D29=0,0,D30/D29)</f>
        <v>0.93055555555555558</v>
      </c>
      <c r="E31" s="72"/>
      <c r="F31" s="72"/>
      <c r="G31" s="72"/>
      <c r="H31" s="73"/>
      <c r="I31" s="5" t="s">
        <v>99</v>
      </c>
    </row>
    <row r="32" spans="1:9" ht="30" customHeight="1" x14ac:dyDescent="0.3">
      <c r="A32" s="12" t="s">
        <v>100</v>
      </c>
      <c r="B32" s="61" t="s">
        <v>101</v>
      </c>
      <c r="C32" s="63"/>
      <c r="D32" s="71">
        <f>IF(SUMIFS(Control_Diario!$K$2:$K$300,Control_Diario!$L$2:$L$300,"Completado",Control_Diario!$C$2:$C$300,"&lt;="&amp;FechaCorte)=0,0,SUMIFS(Control_Diario!$J$2:$J$300,Control_Diario!$L$2:$L$300,"Completado",Control_Diario!$C$2:$C$300,"&lt;="&amp;FechaCorte)/SUMIFS(Control_Diario!$K$2:$K$300,Control_Diario!$L$2:$L$300,"Completado",Control_Diario!$C$2:$C$300,"&lt;="&amp;FechaCorte))</f>
        <v>0.97632058287795997</v>
      </c>
      <c r="E32" s="72"/>
      <c r="F32" s="72"/>
      <c r="G32" s="72"/>
      <c r="H32" s="73"/>
      <c r="I32" s="5" t="s">
        <v>102</v>
      </c>
    </row>
    <row r="33" spans="1:9" ht="42" customHeight="1" x14ac:dyDescent="0.3">
      <c r="A33" s="12" t="s">
        <v>25</v>
      </c>
      <c r="B33" s="61" t="s">
        <v>103</v>
      </c>
      <c r="C33" s="63"/>
      <c r="D33" s="74">
        <f>F25</f>
        <v>143</v>
      </c>
      <c r="E33" s="75"/>
      <c r="F33" s="75"/>
      <c r="G33" s="75"/>
      <c r="H33" s="76"/>
      <c r="I33" s="5" t="inlineStr">
        <is>
          <t xml:space="preserve">143 h reales registradas al corte, conciliadas con la bitácora y las minutas. El ID 268 (revisión del SDS v0.1 del 08/10) no suma horas propias: su esfuerzo está registrado en los ID 107 y 110.</t>
        </is>
      </c>
    </row>
    <row r="35" spans="1:9" x14ac:dyDescent="0.3">
      <c r="A35" s="67" t="s">
        <v>104</v>
      </c>
      <c r="B35" s="67"/>
      <c r="C35" s="67"/>
      <c r="D35" s="67"/>
      <c r="E35" s="67"/>
      <c r="F35" s="67"/>
      <c r="G35" s="67"/>
      <c r="H35" s="67"/>
      <c r="I35" s="67"/>
    </row>
    <row r="36" spans="1:9" ht="15" customHeight="1" x14ac:dyDescent="0.3">
      <c r="A36" s="64" t="s">
        <v>105</v>
      </c>
      <c r="B36" s="66"/>
      <c r="C36" s="64" t="s">
        <v>106</v>
      </c>
      <c r="D36" s="65"/>
      <c r="E36" s="65"/>
      <c r="F36" s="65"/>
      <c r="G36" s="66"/>
      <c r="H36" s="6" t="s">
        <v>27</v>
      </c>
      <c r="I36" s="6" t="s">
        <v>107</v>
      </c>
    </row>
    <row r="37" spans="1:9" ht="30" customHeight="1" x14ac:dyDescent="0.3">
      <c r="A37" s="61" t="s">
        <v>108</v>
      </c>
      <c r="B37" s="63"/>
      <c r="C37" s="61" t="s">
        <v>109</v>
      </c>
      <c r="D37" s="62"/>
      <c r="E37" s="62"/>
      <c r="F37" s="62"/>
      <c r="G37" s="63"/>
      <c r="H37" s="2" t="s">
        <v>32</v>
      </c>
      <c r="I37" s="1" t="s">
        <v>110</v>
      </c>
    </row>
    <row r="38" spans="1:9" ht="30" customHeight="1" x14ac:dyDescent="0.3">
      <c r="A38" s="61" t="s">
        <v>111</v>
      </c>
      <c r="B38" s="63"/>
      <c r="C38" s="61" t="s">
        <v>112</v>
      </c>
      <c r="D38" s="62"/>
      <c r="E38" s="62"/>
      <c r="F38" s="62"/>
      <c r="G38" s="63"/>
      <c r="H38" s="2" t="s">
        <v>32</v>
      </c>
      <c r="I38" s="1" t="s">
        <v>113</v>
      </c>
    </row>
    <row r="39" spans="1:9" ht="30" customHeight="1" x14ac:dyDescent="0.3">
      <c r="A39" s="61" t="s">
        <v>114</v>
      </c>
      <c r="B39" s="63"/>
      <c r="C39" s="61" t="s">
        <v>115</v>
      </c>
      <c r="D39" s="62"/>
      <c r="E39" s="62"/>
      <c r="F39" s="62"/>
      <c r="G39" s="63"/>
      <c r="H39" s="2" t="s">
        <v>76</v>
      </c>
      <c r="I39" s="1" t="s">
        <v>116</v>
      </c>
    </row>
    <row r="40" spans="1:9" ht="30" customHeight="1" x14ac:dyDescent="0.3">
      <c r="A40" s="61" t="s">
        <v>117</v>
      </c>
      <c r="B40" s="63"/>
      <c r="C40" s="61" t="s">
        <v>118</v>
      </c>
      <c r="D40" s="62"/>
      <c r="E40" s="62"/>
      <c r="F40" s="62"/>
      <c r="G40" s="63"/>
      <c r="H40" s="2" t="s">
        <v>32</v>
      </c>
      <c r="I40" s="1" t="s">
        <v>119</v>
      </c>
    </row>
    <row r="41" spans="1:9" ht="30" customHeight="1" x14ac:dyDescent="0.3">
      <c r="A41" s="61" t="s">
        <v>120</v>
      </c>
      <c r="B41" s="63"/>
      <c r="C41" s="61" t="s">
        <v>121</v>
      </c>
      <c r="D41" s="62"/>
      <c r="E41" s="62"/>
      <c r="F41" s="62"/>
      <c r="G41" s="63"/>
      <c r="H41" s="2" t="s">
        <v>32</v>
      </c>
      <c r="I41" s="1" t="s">
        <v>122</v>
      </c>
    </row>
    <row r="42" spans="1:9" ht="15" customHeight="1" x14ac:dyDescent="0.3">
      <c r="A42" s="61" t="s">
        <v>123</v>
      </c>
      <c r="B42" s="63"/>
      <c r="C42" s="61" t="s">
        <v>124</v>
      </c>
      <c r="D42" s="62"/>
      <c r="E42" s="62"/>
      <c r="F42" s="62"/>
      <c r="G42" s="63"/>
      <c r="H42" s="2" t="s">
        <v>76</v>
      </c>
      <c r="I42" s="1" t="s">
        <v>125</v>
      </c>
    </row>
    <row r="44" spans="1:9" x14ac:dyDescent="0.3">
      <c r="A44" s="67" t="s">
        <v>126</v>
      </c>
      <c r="B44" s="67"/>
      <c r="C44" s="67"/>
      <c r="D44" s="67"/>
      <c r="E44" s="67"/>
      <c r="F44" s="67"/>
      <c r="G44" s="67"/>
      <c r="H44" s="67"/>
      <c r="I44" s="67"/>
    </row>
    <row r="45" spans="1:9" ht="52.8" customHeight="1" x14ac:dyDescent="0.3">
      <c r="A45" s="6" t="s">
        <v>127</v>
      </c>
      <c r="B45" s="6" t="s">
        <v>128</v>
      </c>
      <c r="C45" s="6" t="s">
        <v>129</v>
      </c>
      <c r="D45" s="6" t="s">
        <v>23</v>
      </c>
      <c r="E45" s="6" t="s">
        <v>24</v>
      </c>
      <c r="F45" s="6" t="s">
        <v>130</v>
      </c>
      <c r="G45" s="6" t="s">
        <v>131</v>
      </c>
      <c r="H45" s="6" t="s">
        <v>132</v>
      </c>
      <c r="I45" s="6" t="s">
        <v>133</v>
      </c>
    </row>
    <row r="46" spans="1:9" ht="43.05" customHeight="1" x14ac:dyDescent="0.3">
      <c r="A46" s="12" t="s">
        <v>5</v>
      </c>
      <c r="B46" s="5" t="s">
        <v>134</v>
      </c>
      <c r="C46" s="11">
        <f>IF(FechaCorte&lt;DATE(2026,9,21),0,3*NETWORKDAYS(DATE(2026,9,21),MIN(FechaCorte,DATE(2026,11,12))))</f>
        <v>42</v>
      </c>
      <c r="D46" s="11">
        <f>SUMIF(Control_Diario!$D$2:$D$300,A46,Control_Diario!$J$2:$J$300)+SUMIF(Control_Diario!$D$2:$D$300,"Equipo",Control_Diario!$J$2:$J$300)/4</f>
        <v>99</v>
      </c>
      <c r="E46" s="11">
        <f>SUMIFS(Control_Diario!$J$2:$J$300,Control_Diario!$D$2:$D$300,A46,Control_Diario!$C$2:$C$300,"&lt;="&amp;FechaCorte)+SUMIFS(Control_Diario!$J$2:$J$300,Control_Diario!$D$2:$D$300,"Equipo",Control_Diario!$C$2:$C$300,"&lt;="&amp;FechaCorte)/4</f>
        <v>36</v>
      </c>
      <c r="F46" s="11">
        <f>SUMIFS(Control_Diario!$K$2:$K$300,Control_Diario!$D$2:$D$300,A46,Control_Diario!$C$2:$C$300,"&lt;="&amp;FechaCorte)+SUMIFS(Control_Diario!$K$2:$K$300,Control_Diario!$D$2:$D$300,"Equipo",Control_Diario!$C$2:$C$300,"&lt;="&amp;FechaCorte)/4</f>
        <v>35.125</v>
      </c>
      <c r="G46" s="11">
        <f>F46-E46</f>
        <v>-0.875</v>
      </c>
      <c r="H46" s="13">
        <f>IF(C46=0,0,F46/C46)</f>
        <v>0.83630952380952384</v>
      </c>
      <c r="I46" s="1" t="s">
        <v>135</v>
      </c>
    </row>
    <row r="47" spans="1:9" ht="43.05" customHeight="1" x14ac:dyDescent="0.3">
      <c r="A47" s="12" t="s">
        <v>3</v>
      </c>
      <c r="B47" s="5" t="s">
        <v>136</v>
      </c>
      <c r="C47" s="11">
        <f>IF(FechaCorte&lt;DATE(2026,9,21),0,3*NETWORKDAYS(DATE(2026,9,21),MIN(FechaCorte,DATE(2026,11,12))))</f>
        <v>42</v>
      </c>
      <c r="D47" s="11">
        <f>SUMIF(Control_Diario!$D$2:$D$300,A47,Control_Diario!$J$2:$J$300)+SUMIF(Control_Diario!$D$2:$D$300,"Equipo",Control_Diario!$J$2:$J$300)/4</f>
        <v>100</v>
      </c>
      <c r="E47" s="11">
        <f>SUMIFS(Control_Diario!$J$2:$J$300,Control_Diario!$D$2:$D$300,A47,Control_Diario!$C$2:$C$300,"&lt;="&amp;FechaCorte)+SUMIFS(Control_Diario!$J$2:$J$300,Control_Diario!$D$2:$D$300,"Equipo",Control_Diario!$C$2:$C$300,"&lt;="&amp;FechaCorte)/4</f>
        <v>36</v>
      </c>
      <c r="F47" s="11">
        <f>SUMIFS(Control_Diario!$K$2:$K$300,Control_Diario!$D$2:$D$300,A47,Control_Diario!$C$2:$C$300,"&lt;="&amp;FechaCorte)+SUMIFS(Control_Diario!$K$2:$K$300,Control_Diario!$D$2:$D$300,"Equipo",Control_Diario!$C$2:$C$300,"&lt;="&amp;FechaCorte)/4</f>
        <v>34.625</v>
      </c>
      <c r="G47" s="11">
        <f>F47-E47</f>
        <v>-1.375</v>
      </c>
      <c r="H47" s="13">
        <f>IF(C47=0,0,F47/C47)</f>
        <v>0.82440476190476186</v>
      </c>
      <c r="I47" s="1" t="s">
        <v>135</v>
      </c>
    </row>
    <row r="48" spans="1:9" ht="43.05" customHeight="1" x14ac:dyDescent="0.3">
      <c r="A48" s="12" t="s">
        <v>4</v>
      </c>
      <c r="B48" s="5" t="s">
        <v>137</v>
      </c>
      <c r="C48" s="11">
        <f>IF(FechaCorte&lt;DATE(2026,9,21),0,3*NETWORKDAYS(DATE(2026,9,21),MIN(FechaCorte,DATE(2026,11,12))))</f>
        <v>42</v>
      </c>
      <c r="D48" s="11">
        <f>SUMIF(Control_Diario!$D$2:$D$300,A48,Control_Diario!$J$2:$J$300)+SUMIF(Control_Diario!$D$2:$D$300,"Equipo",Control_Diario!$J$2:$J$300)/4</f>
        <v>98.5</v>
      </c>
      <c r="E48" s="11">
        <f>SUMIFS(Control_Diario!$J$2:$J$300,Control_Diario!$D$2:$D$300,A48,Control_Diario!$C$2:$C$300,"&lt;="&amp;FechaCorte)+SUMIFS(Control_Diario!$J$2:$J$300,Control_Diario!$D$2:$D$300,"Equipo",Control_Diario!$C$2:$C$300,"&lt;="&amp;FechaCorte)/4</f>
        <v>36</v>
      </c>
      <c r="F48" s="11">
        <f>SUMIFS(Control_Diario!$K$2:$K$300,Control_Diario!$D$2:$D$300,A48,Control_Diario!$C$2:$C$300,"&lt;="&amp;FechaCorte)+SUMIFS(Control_Diario!$K$2:$K$300,Control_Diario!$D$2:$D$300,"Equipo",Control_Diario!$C$2:$C$300,"&lt;="&amp;FechaCorte)/4</f>
        <v>37.375</v>
      </c>
      <c r="G48" s="11">
        <f>F48-E48</f>
        <v>1.375</v>
      </c>
      <c r="H48" s="13">
        <f>IF(C48=0,0,F48/C48)</f>
        <v>0.88988095238095233</v>
      </c>
      <c r="I48" s="1" t="s">
        <v>135</v>
      </c>
    </row>
    <row r="49" spans="1:9" ht="43.05" customHeight="1" x14ac:dyDescent="0.3">
      <c r="A49" s="12" t="s">
        <v>6</v>
      </c>
      <c r="B49" s="5" t="s">
        <v>138</v>
      </c>
      <c r="C49" s="11">
        <f>IF(FechaCorte&lt;DATE(2026,9,21),0,3*NETWORKDAYS(DATE(2026,9,21),MIN(FechaCorte,DATE(2026,11,12))))</f>
        <v>42</v>
      </c>
      <c r="D49" s="11">
        <f>SUMIF(Control_Diario!$D$2:$D$300,A49,Control_Diario!$J$2:$J$300)+SUMIF(Control_Diario!$D$2:$D$300,"Equipo",Control_Diario!$J$2:$J$300)/4</f>
        <v>98.5</v>
      </c>
      <c r="E49" s="11">
        <f>SUMIFS(Control_Diario!$J$2:$J$300,Control_Diario!$D$2:$D$300,A49,Control_Diario!$C$2:$C$300,"&lt;="&amp;FechaCorte)+SUMIFS(Control_Diario!$J$2:$J$300,Control_Diario!$D$2:$D$300,"Equipo",Control_Diario!$C$2:$C$300,"&lt;="&amp;FechaCorte)/4</f>
        <v>36</v>
      </c>
      <c r="F49" s="11">
        <f>SUMIFS(Control_Diario!$K$2:$K$300,Control_Diario!$D$2:$D$300,A49,Control_Diario!$C$2:$C$300,"&lt;="&amp;FechaCorte)+SUMIFS(Control_Diario!$K$2:$K$300,Control_Diario!$D$2:$D$300,"Equipo",Control_Diario!$C$2:$C$300,"&lt;="&amp;FechaCorte)/4</f>
        <v>35.875</v>
      </c>
      <c r="G49" s="11">
        <f>F49-E49</f>
        <v>-0.125</v>
      </c>
      <c r="H49" s="13">
        <f>IF(C49=0,0,F49/C49)</f>
        <v>0.85416666666666663</v>
      </c>
      <c r="I49" s="1" t="s">
        <v>135</v>
      </c>
    </row>
    <row r="50" spans="1:9" ht="30" customHeight="1" x14ac:dyDescent="0.3">
      <c r="A50" s="12" t="s">
        <v>139</v>
      </c>
      <c r="B50" s="5" t="s">
        <v>140</v>
      </c>
      <c r="C50" s="3">
        <f>SUM(C46:C49)</f>
        <v>168</v>
      </c>
      <c r="D50" s="3">
        <f>SUM(D46:D49)</f>
        <v>396</v>
      </c>
      <c r="E50" s="3">
        <f>SUM(E46:E49)</f>
        <v>144</v>
      </c>
      <c r="F50" s="3">
        <f>SUM(F46:F49)</f>
        <v>143</v>
      </c>
      <c r="G50" s="3">
        <f>F50-E50</f>
        <v>-1</v>
      </c>
      <c r="H50" s="4">
        <f>IF(C50=0,0,F50/C50)</f>
        <v>0.85119047619047616</v>
      </c>
      <c r="I50" s="5"/>
    </row>
    <row r="51" spans="1:9" ht="45" customHeight="1" x14ac:dyDescent="0.3">
      <c r="A51" s="12" t="s">
        <v>141</v>
      </c>
      <c r="B51" s="61" t="s">
        <v>142</v>
      </c>
      <c r="C51" s="62"/>
      <c r="D51" s="62"/>
      <c r="E51" s="62"/>
      <c r="F51" s="62"/>
      <c r="G51" s="62"/>
      <c r="H51" s="62"/>
      <c r="I51" s="62"/>
    </row>
    <row r="52" spans="1:9" ht="15" customHeight="1" x14ac:dyDescent="0.3">
      <c r="A52" s="12" t="s">
        <v>143</v>
      </c>
      <c r="B52" s="77" t="s">
        <v>144</v>
      </c>
      <c r="C52" s="78"/>
      <c r="D52" s="78"/>
      <c r="E52" s="78"/>
      <c r="F52" s="78"/>
      <c r="G52" s="78"/>
      <c r="H52" s="78"/>
      <c r="I52" s="78"/>
    </row>
    <row r="54" spans="1:9" x14ac:dyDescent="0.3">
      <c r="A54" s="67" t="s">
        <v>145</v>
      </c>
      <c r="B54" s="67"/>
      <c r="C54" s="67"/>
      <c r="D54" s="67"/>
      <c r="E54" s="67"/>
      <c r="F54" s="67"/>
      <c r="G54" s="67"/>
      <c r="H54" s="67"/>
      <c r="I54" s="67"/>
    </row>
    <row r="55" spans="1:9" ht="30" customHeight="1" x14ac:dyDescent="0.3">
      <c r="A55" s="6" t="s">
        <v>146</v>
      </c>
      <c r="B55" s="6" t="s">
        <v>21</v>
      </c>
      <c r="C55" s="6"/>
      <c r="D55" s="6" t="s">
        <v>147</v>
      </c>
      <c r="E55" s="6" t="s">
        <v>148</v>
      </c>
      <c r="F55" s="6" t="s">
        <v>149</v>
      </c>
      <c r="G55" s="6"/>
      <c r="H55" s="6"/>
      <c r="I55" s="6" t="s">
        <v>133</v>
      </c>
    </row>
    <row r="56" spans="1:9" ht="43.05" customHeight="1" x14ac:dyDescent="0.3">
      <c r="A56" s="12" t="s">
        <v>150</v>
      </c>
      <c r="B56" s="61" t="s">
        <v>151</v>
      </c>
      <c r="C56" s="63"/>
      <c r="D56" s="14">
        <v>0</v>
      </c>
      <c r="E56" s="15">
        <v>0</v>
      </c>
      <c r="F56" s="14">
        <f>E56-D56</f>
        <v>0</v>
      </c>
      <c r="G56" s="5"/>
      <c r="H56" s="5"/>
      <c r="I56" s="1" t="s">
        <v>152</v>
      </c>
    </row>
    <row r="58" spans="1:9" x14ac:dyDescent="0.3">
      <c r="A58" s="67" t="s">
        <v>153</v>
      </c>
      <c r="B58" s="67"/>
      <c r="C58" s="67"/>
      <c r="D58" s="67"/>
      <c r="E58" s="67"/>
      <c r="F58" s="67"/>
      <c r="G58" s="67"/>
      <c r="H58" s="67"/>
      <c r="I58" s="67"/>
    </row>
    <row r="59" spans="1:9" ht="30" customHeight="1" x14ac:dyDescent="0.3">
      <c r="A59" s="6" t="s">
        <v>154</v>
      </c>
      <c r="B59" s="6" t="s">
        <v>155</v>
      </c>
      <c r="C59" s="6" t="s">
        <v>156</v>
      </c>
      <c r="D59" s="6" t="s">
        <v>157</v>
      </c>
      <c r="E59" s="6" t="s">
        <v>24</v>
      </c>
      <c r="F59" s="6" t="s">
        <v>158</v>
      </c>
      <c r="G59" s="6" t="s">
        <v>159</v>
      </c>
      <c r="H59" s="6" t="s">
        <v>27</v>
      </c>
      <c r="I59" s="6" t="s">
        <v>133</v>
      </c>
    </row>
    <row r="60" spans="1:9" ht="43.05" customHeight="1" x14ac:dyDescent="0.3">
      <c r="A60" s="12" t="s">
        <v>160</v>
      </c>
      <c r="B60" s="5" t="s">
        <v>161</v>
      </c>
      <c r="C60" s="16" t="s">
        <v>162</v>
      </c>
      <c r="D60" s="16" t="s">
        <v>162</v>
      </c>
      <c r="E60" s="16" t="s">
        <v>162</v>
      </c>
      <c r="F60" s="16" t="s">
        <v>162</v>
      </c>
      <c r="G60" s="16" t="s">
        <v>162</v>
      </c>
      <c r="H60" s="2" t="s">
        <v>163</v>
      </c>
      <c r="I60" s="1" t="s">
        <v>164</v>
      </c>
    </row>
    <row r="61" spans="1:9" ht="43.05" customHeight="1" x14ac:dyDescent="0.3">
      <c r="A61" s="12" t="s">
        <v>165</v>
      </c>
      <c r="B61" s="5" t="s">
        <v>166</v>
      </c>
      <c r="C61" s="16">
        <v>14</v>
      </c>
      <c r="D61" s="11">
        <f>SUMIF(Control_Diario!$B$2:$B$300,A61,Control_Diario!$J$2:$J$300)</f>
        <v>144</v>
      </c>
      <c r="E61" s="11">
        <f>SUMIFS(Control_Diario!$J$2:$J$300,Control_Diario!$B$2:$B$300,A61,Control_Diario!$C$2:$C$300,"&lt;="&amp;FechaCorte)</f>
        <v>144</v>
      </c>
      <c r="F61" s="11">
        <f>SUMIFS(Control_Diario!$K$2:$K$300,Control_Diario!$B$2:$B$300,A61,Control_Diario!$C$2:$C$300,"&lt;="&amp;FechaCorte)</f>
        <v>143</v>
      </c>
      <c r="G61" s="11">
        <f>IF(AND(F61=0,E61=0),"",F61-E61)</f>
        <v>-1</v>
      </c>
      <c r="H61" s="2" t="s">
        <v>163</v>
      </c>
      <c r="I61" s="46" t="inlineStr">
        <is>
          <t xml:space="preserve">Cerrado el 08/10 (MR-07). 144 h estimadas; 143 h reales capturadas (−1 h). Cerrar el periodo no implica terminar todas las tareas. SRS v0.1 y SDS v0.1 revisados al cierre.</t>
        </is>
      </c>
    </row>
    <row r="62" spans="1:9" ht="55.95" customHeight="1" x14ac:dyDescent="0.3">
      <c r="A62" s="12" t="s">
        <v>167</v>
      </c>
      <c r="B62" s="5" t="s">
        <v>168</v>
      </c>
      <c r="C62" s="16">
        <v>11</v>
      </c>
      <c r="D62" s="11">
        <f>SUMIF(Control_Diario!$B$2:$B$300,A62,Control_Diario!$J$2:$J$300)</f>
        <v>96</v>
      </c>
      <c r="E62" s="11">
        <f>SUMIFS(Control_Diario!$J$2:$J$300,Control_Diario!$B$2:$B$300,A62,Control_Diario!$C$2:$C$300,"&lt;="&amp;FechaCorte)</f>
        <v>0</v>
      </c>
      <c r="F62" s="11">
        <f>SUMIFS(Control_Diario!$K$2:$K$300,Control_Diario!$B$2:$B$300,A62,Control_Diario!$C$2:$C$300,"&lt;="&amp;FechaCorte)</f>
        <v>0</v>
      </c>
      <c r="G62" s="11" t="str">
        <f>IF(AND(F62=0,E62=0),"",F62-E62)</f>
        <v/>
      </c>
      <c r="H62" s="2" t="s">
        <v>76</v>
      </c>
      <c r="I62" s="46" t="s">
        <v>169</v>
      </c>
    </row>
    <row r="63" spans="1:9" ht="15" customHeight="1" x14ac:dyDescent="0.3">
      <c r="A63" s="12" t="s">
        <v>170</v>
      </c>
      <c r="B63" s="5" t="s">
        <v>171</v>
      </c>
      <c r="C63" s="16">
        <v>13</v>
      </c>
      <c r="D63" s="11">
        <f>SUMIF(Control_Diario!$B$2:$B$300,A63,Control_Diario!$J$2:$J$300)</f>
        <v>120</v>
      </c>
      <c r="E63" s="11">
        <f>SUMIFS(Control_Diario!$J$2:$J$300,Control_Diario!$B$2:$B$300,A63,Control_Diario!$C$2:$C$300,"&lt;="&amp;FechaCorte)</f>
        <v>0</v>
      </c>
      <c r="F63" s="11">
        <f>SUMIFS(Control_Diario!$K$2:$K$300,Control_Diario!$B$2:$B$300,A63,Control_Diario!$C$2:$C$300,"&lt;="&amp;FechaCorte)</f>
        <v>0</v>
      </c>
      <c r="G63" s="11" t="str">
        <f>IF(AND(F63=0,E63=0),"",F63-E63)</f>
        <v/>
      </c>
      <c r="H63" s="2" t="s">
        <v>76</v>
      </c>
      <c r="I63" s="1" t="s">
        <v>172</v>
      </c>
    </row>
    <row r="64" spans="1:9" ht="30" customHeight="1" x14ac:dyDescent="0.3">
      <c r="A64" s="12" t="s">
        <v>173</v>
      </c>
      <c r="B64" s="5" t="s">
        <v>174</v>
      </c>
      <c r="C64" s="16">
        <v>5</v>
      </c>
      <c r="D64" s="11">
        <f>SUMIF(Control_Diario!$B$2:$B$300,A64,Control_Diario!$J$2:$J$300)</f>
        <v>36</v>
      </c>
      <c r="E64" s="11">
        <f>SUMIFS(Control_Diario!$J$2:$J$300,Control_Diario!$B$2:$B$300,A64,Control_Diario!$C$2:$C$300,"&lt;="&amp;FechaCorte)</f>
        <v>0</v>
      </c>
      <c r="F64" s="11">
        <f>SUMIFS(Control_Diario!$K$2:$K$300,Control_Diario!$B$2:$B$300,A64,Control_Diario!$C$2:$C$300,"&lt;="&amp;FechaCorte)</f>
        <v>0</v>
      </c>
      <c r="G64" s="11" t="str">
        <f>IF(AND(F64=0,E64=0),"",F64-E64)</f>
        <v/>
      </c>
      <c r="H64" s="2" t="s">
        <v>76</v>
      </c>
      <c r="I64" s="1" t="s">
        <v>175</v>
      </c>
    </row>
    <row r="65" spans="1:9" ht="15" customHeight="1" x14ac:dyDescent="0.3">
      <c r="A65" s="6" t="s">
        <v>176</v>
      </c>
      <c r="B65" s="64" t="s">
        <v>177</v>
      </c>
      <c r="C65" s="65"/>
      <c r="D65" s="65"/>
      <c r="E65" s="65"/>
      <c r="F65" s="65"/>
      <c r="G65" s="66"/>
      <c r="H65" s="6" t="s">
        <v>27</v>
      </c>
      <c r="I65" s="6" t="s">
        <v>133</v>
      </c>
    </row>
    <row r="66" spans="1:9" ht="15" customHeight="1" x14ac:dyDescent="0.3">
      <c r="A66" s="12" t="s">
        <v>178</v>
      </c>
      <c r="B66" s="61" t="s">
        <v>179</v>
      </c>
      <c r="C66" s="62"/>
      <c r="D66" s="62"/>
      <c r="E66" s="62"/>
      <c r="F66" s="62"/>
      <c r="G66" s="63"/>
      <c r="H66" s="2" t="s">
        <v>163</v>
      </c>
      <c r="I66" s="1"/>
    </row>
    <row r="67" spans="1:9" ht="30" customHeight="1" x14ac:dyDescent="0.3">
      <c r="A67" s="12" t="s">
        <v>180</v>
      </c>
      <c r="B67" s="61" t="s">
        <v>181</v>
      </c>
      <c r="C67" s="62"/>
      <c r="D67" s="62"/>
      <c r="E67" s="62"/>
      <c r="F67" s="62"/>
      <c r="G67" s="63"/>
      <c r="H67" s="2" t="s">
        <v>32</v>
      </c>
      <c r="I67" s="1" t="inlineStr">
        <is>
          <t xml:space="preserve">Documentación del hito entregada el 25/09 (Daily D-06 y MR-03); sigue en proceso por las aprobaciones pendientes (ver sección 7).</t>
        </is>
      </c>
    </row>
    <row r="68" spans="1:9" ht="15" customHeight="1" x14ac:dyDescent="0.3">
      <c r="A68" s="12" t="s">
        <v>183</v>
      </c>
      <c r="B68" s="61" t="s">
        <v>184</v>
      </c>
      <c r="C68" s="62"/>
      <c r="D68" s="62"/>
      <c r="E68" s="62"/>
      <c r="F68" s="62"/>
      <c r="G68" s="63"/>
      <c r="H68" s="2" t="s">
        <v>163</v>
      </c>
      <c r="I68" s="1" t="s">
        <v>185</v>
      </c>
    </row>
    <row r="69" spans="1:9" ht="15" customHeight="1" x14ac:dyDescent="0.3">
      <c r="A69" s="12" t="s">
        <v>186</v>
      </c>
      <c r="B69" s="61" t="s">
        <v>187</v>
      </c>
      <c r="C69" s="62"/>
      <c r="D69" s="62"/>
      <c r="E69" s="62"/>
      <c r="F69" s="62"/>
      <c r="G69" s="63"/>
      <c r="H69" s="2" t="s">
        <v>76</v>
      </c>
      <c r="I69" s="1"/>
    </row>
    <row r="70" spans="1:9" ht="15" customHeight="1" x14ac:dyDescent="0.3">
      <c r="A70" s="12" t="s">
        <v>188</v>
      </c>
      <c r="B70" s="61" t="s">
        <v>189</v>
      </c>
      <c r="C70" s="62"/>
      <c r="D70" s="62"/>
      <c r="E70" s="62"/>
      <c r="F70" s="62"/>
      <c r="G70" s="63"/>
      <c r="H70" s="2" t="s">
        <v>76</v>
      </c>
      <c r="I70" s="1"/>
    </row>
    <row r="71" spans="1:9" ht="15" customHeight="1" x14ac:dyDescent="0.3">
      <c r="A71" s="12" t="s">
        <v>190</v>
      </c>
      <c r="B71" s="61" t="s">
        <v>191</v>
      </c>
      <c r="C71" s="62"/>
      <c r="D71" s="62"/>
      <c r="E71" s="62"/>
      <c r="F71" s="62"/>
      <c r="G71" s="63"/>
      <c r="H71" s="2" t="s">
        <v>76</v>
      </c>
      <c r="I71" s="1"/>
    </row>
    <row r="73" spans="1:9" x14ac:dyDescent="0.3">
      <c r="A73" s="67" t="s">
        <v>192</v>
      </c>
      <c r="B73" s="67"/>
      <c r="C73" s="67"/>
      <c r="D73" s="67"/>
      <c r="E73" s="67"/>
      <c r="F73" s="67"/>
      <c r="G73" s="67"/>
      <c r="H73" s="67"/>
      <c r="I73" s="67"/>
    </row>
    <row r="74" spans="1:9" ht="39.450000000000003" customHeight="1" x14ac:dyDescent="0.3">
      <c r="A74" s="6" t="s">
        <v>193</v>
      </c>
      <c r="B74" s="6" t="s">
        <v>194</v>
      </c>
      <c r="C74" s="6" t="s">
        <v>195</v>
      </c>
      <c r="D74" s="6"/>
      <c r="E74" s="6" t="s">
        <v>196</v>
      </c>
      <c r="F74" s="6"/>
      <c r="G74" s="6" t="s">
        <v>27</v>
      </c>
      <c r="H74" s="6"/>
      <c r="I74" s="6" t="s">
        <v>197</v>
      </c>
    </row>
    <row r="75" spans="1:9" ht="43.05" customHeight="1" x14ac:dyDescent="0.3">
      <c r="A75" s="5" t="s">
        <v>198</v>
      </c>
      <c r="B75" s="45" t="s">
        <v>438</v>
      </c>
      <c r="C75" s="61" t="s">
        <v>5</v>
      </c>
      <c r="D75" s="63"/>
      <c r="E75" s="59" t="s">
        <v>199</v>
      </c>
      <c r="F75" s="60"/>
      <c r="G75" s="59" t="s">
        <v>200</v>
      </c>
      <c r="H75" s="60"/>
      <c r="I75" s="5" t="s">
        <v>201</v>
      </c>
    </row>
    <row r="76" spans="1:9" ht="67.95" customHeight="1" x14ac:dyDescent="0.3">
      <c r="A76" s="5" t="s">
        <v>202</v>
      </c>
      <c r="B76" s="5" t="s">
        <v>203</v>
      </c>
      <c r="C76" s="61" t="s">
        <v>4</v>
      </c>
      <c r="D76" s="63"/>
      <c r="E76" s="59" t="s">
        <v>204</v>
      </c>
      <c r="F76" s="60"/>
      <c r="G76" s="59" t="s">
        <v>205</v>
      </c>
      <c r="H76" s="60"/>
      <c r="I76" s="5" t="inlineStr">
        <is>
          <t xml:space="preserve">Horas de T05 y T07–T10, MR-03 y dailies D-05/D-10 registradas. La disponibilidad teórica era 3 h por persona al día; los registros la superan el 22/09, 23/09, 05/10 y 08/10. Pendiente: relacionar commits y casos/logs (WP.14/WP.15).</t>
        </is>
      </c>
    </row>
    <row r="77" spans="1:9" ht="43.05" customHeight="1" x14ac:dyDescent="0.3">
      <c r="A77" s="5" t="s">
        <v>206</v>
      </c>
      <c r="B77" s="5" t="s">
        <v>207</v>
      </c>
      <c r="C77" s="61" t="s">
        <v>6</v>
      </c>
      <c r="D77" s="63"/>
      <c r="E77" s="59" t="s">
        <v>199</v>
      </c>
      <c r="F77" s="60"/>
      <c r="G77" s="59" t="s">
        <v>200</v>
      </c>
      <c r="H77" s="60"/>
      <c r="I77" s="5" t="s">
        <v>208</v>
      </c>
    </row>
    <row r="78" spans="1:9" ht="30" customHeight="1" x14ac:dyDescent="0.3">
      <c r="A78" s="5" t="s">
        <v>209</v>
      </c>
      <c r="B78" s="5" t="s">
        <v>210</v>
      </c>
      <c r="C78" s="61" t="s">
        <v>5</v>
      </c>
      <c r="D78" s="63"/>
      <c r="E78" s="59" t="s">
        <v>211</v>
      </c>
      <c r="F78" s="60"/>
      <c r="G78" s="59" t="s">
        <v>212</v>
      </c>
      <c r="H78" s="60"/>
      <c r="I78" s="5" t="s">
        <v>213</v>
      </c>
    </row>
    <row r="79" spans="1:9" ht="30" customHeight="1" x14ac:dyDescent="0.3">
      <c r="A79" s="5" t="s">
        <v>214</v>
      </c>
      <c r="B79" s="5" t="s">
        <v>215</v>
      </c>
      <c r="C79" s="61" t="s">
        <v>4</v>
      </c>
      <c r="D79" s="63"/>
      <c r="E79" s="59" t="s">
        <v>216</v>
      </c>
      <c r="F79" s="60"/>
      <c r="G79" s="59" t="s">
        <v>200</v>
      </c>
      <c r="H79" s="60"/>
      <c r="I79" s="5" t="s">
        <v>217</v>
      </c>
    </row>
    <row r="80" spans="1:9" ht="43.05" customHeight="1" x14ac:dyDescent="0.3">
      <c r="A80" s="5" t="s">
        <v>218</v>
      </c>
      <c r="B80" s="5" t="s">
        <v>219</v>
      </c>
      <c r="C80" s="61" t="s">
        <v>5</v>
      </c>
      <c r="D80" s="63"/>
      <c r="E80" s="59" t="s">
        <v>220</v>
      </c>
      <c r="F80" s="60"/>
      <c r="G80" s="59" t="s">
        <v>200</v>
      </c>
      <c r="H80" s="60"/>
      <c r="I80" s="45" t="s">
        <v>221</v>
      </c>
    </row>
    <row r="81" spans="1:9" ht="43.05" customHeight="1" x14ac:dyDescent="0.3">
      <c r="A81" s="5" t="s">
        <v>222</v>
      </c>
      <c r="B81" s="5" t="s">
        <v>223</v>
      </c>
      <c r="C81" s="61" t="s">
        <v>6</v>
      </c>
      <c r="D81" s="63"/>
      <c r="E81" s="59" t="s">
        <v>224</v>
      </c>
      <c r="F81" s="60"/>
      <c r="G81" s="59" t="s">
        <v>205</v>
      </c>
      <c r="H81" s="60"/>
      <c r="I81" s="45" t="s">
        <v>439</v>
      </c>
    </row>
    <row r="82" spans="1:9" ht="43.05" customHeight="1" x14ac:dyDescent="0.3">
      <c r="A82" s="5" t="s">
        <v>225</v>
      </c>
      <c r="B82" s="5" t="s">
        <v>226</v>
      </c>
      <c r="C82" s="61" t="s">
        <v>3</v>
      </c>
      <c r="D82" s="63"/>
      <c r="E82" s="59" t="s">
        <v>227</v>
      </c>
      <c r="F82" s="60"/>
      <c r="G82" s="59" t="s">
        <v>200</v>
      </c>
      <c r="H82" s="60"/>
      <c r="I82" s="45" t="s">
        <v>228</v>
      </c>
    </row>
    <row r="83" spans="1:9" x14ac:dyDescent="0.3">
      <c r="A83" s="67" t="s">
        <v>229</v>
      </c>
      <c r="B83" s="67"/>
      <c r="C83" s="67"/>
      <c r="D83" s="67"/>
      <c r="E83" s="67"/>
      <c r="F83" s="67"/>
      <c r="G83" s="67"/>
      <c r="H83" s="67"/>
      <c r="I83" s="67"/>
    </row>
    <row r="84" spans="1:9" ht="15" customHeight="1" x14ac:dyDescent="0.3">
      <c r="A84" s="64" t="s">
        <v>230</v>
      </c>
      <c r="B84" s="66"/>
      <c r="C84" s="6" t="s">
        <v>231</v>
      </c>
      <c r="D84" s="6" t="s">
        <v>232</v>
      </c>
      <c r="E84" s="64" t="s">
        <v>233</v>
      </c>
      <c r="F84" s="65"/>
      <c r="G84" s="65"/>
      <c r="H84" s="65"/>
      <c r="I84" s="66"/>
    </row>
    <row r="85" spans="1:9" ht="30" customHeight="1" x14ac:dyDescent="0.3">
      <c r="A85" s="61" t="s">
        <v>234</v>
      </c>
      <c r="B85" s="63"/>
      <c r="C85" s="2" t="s">
        <v>235</v>
      </c>
      <c r="D85" s="2" t="s">
        <v>236</v>
      </c>
      <c r="E85" s="61" t="s">
        <v>237</v>
      </c>
      <c r="F85" s="62"/>
      <c r="G85" s="62"/>
      <c r="H85" s="62"/>
      <c r="I85" s="63"/>
    </row>
    <row r="86" spans="1:9" ht="15" customHeight="1" x14ac:dyDescent="0.3">
      <c r="A86" s="61" t="s">
        <v>238</v>
      </c>
      <c r="B86" s="63"/>
      <c r="C86" s="2" t="s">
        <v>235</v>
      </c>
      <c r="D86" s="2" t="s">
        <v>236</v>
      </c>
      <c r="E86" s="61" t="s">
        <v>239</v>
      </c>
      <c r="F86" s="62"/>
      <c r="G86" s="62"/>
      <c r="H86" s="62"/>
      <c r="I86" s="63"/>
    </row>
    <row r="87" spans="1:9" ht="15" customHeight="1" x14ac:dyDescent="0.3">
      <c r="A87" s="61" t="s">
        <v>240</v>
      </c>
      <c r="B87" s="63"/>
      <c r="C87" s="2" t="s">
        <v>235</v>
      </c>
      <c r="D87" s="2" t="s">
        <v>236</v>
      </c>
      <c r="E87" s="61" t="s">
        <v>241</v>
      </c>
      <c r="F87" s="62"/>
      <c r="G87" s="62"/>
      <c r="H87" s="62"/>
      <c r="I87" s="63"/>
    </row>
    <row r="88" spans="1:9" ht="15" customHeight="1" x14ac:dyDescent="0.3">
      <c r="A88" s="61" t="s">
        <v>242</v>
      </c>
      <c r="B88" s="63"/>
      <c r="C88" s="2" t="s">
        <v>235</v>
      </c>
      <c r="D88" s="2" t="s">
        <v>243</v>
      </c>
      <c r="E88" s="61" t="s">
        <v>244</v>
      </c>
      <c r="F88" s="62"/>
      <c r="G88" s="62"/>
      <c r="H88" s="62"/>
      <c r="I88" s="63"/>
    </row>
    <row r="89" spans="1:9" ht="30" customHeight="1" x14ac:dyDescent="0.3">
      <c r="A89" s="61" t="s">
        <v>245</v>
      </c>
      <c r="B89" s="63"/>
      <c r="C89" s="2" t="s">
        <v>246</v>
      </c>
      <c r="D89" s="2" t="s">
        <v>243</v>
      </c>
      <c r="E89" s="61" t="s">
        <v>247</v>
      </c>
      <c r="F89" s="62"/>
      <c r="G89" s="62"/>
      <c r="H89" s="62"/>
      <c r="I89" s="63"/>
    </row>
    <row r="90" spans="1:9" ht="15" customHeight="1" x14ac:dyDescent="0.3">
      <c r="A90" s="61" t="s">
        <v>248</v>
      </c>
      <c r="B90" s="63"/>
      <c r="C90" s="2" t="s">
        <v>246</v>
      </c>
      <c r="D90" s="2" t="s">
        <v>236</v>
      </c>
      <c r="E90" s="61" t="s">
        <v>249</v>
      </c>
      <c r="F90" s="62"/>
      <c r="G90" s="62"/>
      <c r="H90" s="62"/>
      <c r="I90" s="63"/>
    </row>
    <row r="92" spans="1:9" x14ac:dyDescent="0.3">
      <c r="A92" s="67" t="s">
        <v>250</v>
      </c>
      <c r="B92" s="67"/>
      <c r="C92" s="67"/>
      <c r="D92" s="67"/>
      <c r="E92" s="67"/>
      <c r="F92" s="67"/>
      <c r="G92" s="67"/>
      <c r="H92" s="67"/>
      <c r="I92" s="67"/>
    </row>
    <row r="93" spans="1:9" x14ac:dyDescent="0.3">
      <c r="A93" s="6" t="s">
        <v>146</v>
      </c>
      <c r="B93" s="6" t="s">
        <v>251</v>
      </c>
      <c r="C93" s="6"/>
      <c r="D93" s="6"/>
      <c r="E93" s="6"/>
      <c r="F93" s="6"/>
      <c r="G93" s="6"/>
      <c r="H93" s="6"/>
      <c r="I93" s="6" t="s">
        <v>252</v>
      </c>
    </row>
    <row r="94" spans="1:9" ht="30" customHeight="1" x14ac:dyDescent="0.3">
      <c r="A94" s="12" t="s">
        <v>253</v>
      </c>
      <c r="B94" s="2">
        <v>15</v>
      </c>
      <c r="I94" s="5" t="s">
        <v>254</v>
      </c>
    </row>
    <row r="95" spans="1:9" ht="30" customHeight="1" x14ac:dyDescent="0.3">
      <c r="A95" s="12" t="s">
        <v>255</v>
      </c>
      <c r="B95" s="2">
        <f>9+2</f>
        <v>11</v>
      </c>
      <c r="I95" s="5" t="s">
        <v>256</v>
      </c>
    </row>
    <row r="96" spans="1:9" ht="15" customHeight="1" x14ac:dyDescent="0.3">
      <c r="A96" s="12" t="s">
        <v>257</v>
      </c>
      <c r="B96" s="16">
        <f>B94-B95</f>
        <v>4</v>
      </c>
      <c r="I96" t="s">
        <v>258</v>
      </c>
    </row>
    <row r="97" spans="1:9" ht="15" customHeight="1" x14ac:dyDescent="0.3">
      <c r="A97" s="12" t="s">
        <v>259</v>
      </c>
      <c r="B97" s="17">
        <v>2</v>
      </c>
      <c r="I97" t="s">
        <v>260</v>
      </c>
    </row>
    <row r="98" spans="1:9" x14ac:dyDescent="0.3">
      <c r="A98" s="67" t="s">
        <v>261</v>
      </c>
      <c r="B98" s="67"/>
      <c r="C98" s="67"/>
      <c r="D98" s="67"/>
      <c r="E98" s="67"/>
      <c r="F98" s="67"/>
      <c r="G98" s="67"/>
      <c r="H98" s="67"/>
      <c r="I98" s="67"/>
    </row>
    <row r="99" spans="1:9" x14ac:dyDescent="0.3">
      <c r="A99" s="12" t="s">
        <v>262</v>
      </c>
      <c r="B99" s="5" t="s">
        <v>5</v>
      </c>
      <c r="C99" s="12" t="s">
        <v>263</v>
      </c>
      <c r="D99" s="77"/>
      <c r="E99" s="78"/>
      <c r="F99" s="79"/>
      <c r="G99" s="12" t="s">
        <v>264</v>
      </c>
      <c r="H99" s="77"/>
      <c r="I99" s="79"/>
    </row>
  </sheetData>
  <mergeCells count="90">
    <mergeCell ref="B3:I3"/>
    <mergeCell ref="H99:I99"/>
    <mergeCell ref="B5:I5"/>
    <mergeCell ref="A58:I58"/>
    <mergeCell ref="C79:D79"/>
    <mergeCell ref="D31:H31"/>
    <mergeCell ref="A42:B42"/>
    <mergeCell ref="B68:G68"/>
    <mergeCell ref="C76:D76"/>
    <mergeCell ref="A27:I27"/>
    <mergeCell ref="G81:H81"/>
    <mergeCell ref="B51:I51"/>
    <mergeCell ref="C41:G41"/>
    <mergeCell ref="D99:F99"/>
    <mergeCell ref="A38:B38"/>
    <mergeCell ref="B32:C32"/>
    <mergeCell ref="E78:F78"/>
    <mergeCell ref="A88:B88"/>
    <mergeCell ref="E90:I90"/>
    <mergeCell ref="A98:I98"/>
    <mergeCell ref="A89:B89"/>
    <mergeCell ref="A92:I92"/>
    <mergeCell ref="A90:B90"/>
    <mergeCell ref="E88:I88"/>
    <mergeCell ref="E89:I89"/>
    <mergeCell ref="A86:B86"/>
    <mergeCell ref="A83:I83"/>
    <mergeCell ref="E80:F80"/>
    <mergeCell ref="C82:D82"/>
    <mergeCell ref="D33:H33"/>
    <mergeCell ref="B52:I52"/>
    <mergeCell ref="A54:I54"/>
    <mergeCell ref="B70:G70"/>
    <mergeCell ref="A84:B84"/>
    <mergeCell ref="E82:F82"/>
    <mergeCell ref="G82:H82"/>
    <mergeCell ref="C39:G39"/>
    <mergeCell ref="C78:D78"/>
    <mergeCell ref="G76:H76"/>
    <mergeCell ref="B71:G71"/>
    <mergeCell ref="G78:H78"/>
    <mergeCell ref="G77:H77"/>
    <mergeCell ref="B4:I4"/>
    <mergeCell ref="B30:C30"/>
    <mergeCell ref="B33:C33"/>
    <mergeCell ref="A37:B37"/>
    <mergeCell ref="C81:D81"/>
    <mergeCell ref="G75:H75"/>
    <mergeCell ref="A35:I35"/>
    <mergeCell ref="C40:G40"/>
    <mergeCell ref="A44:I44"/>
    <mergeCell ref="C37:G37"/>
    <mergeCell ref="C80:D80"/>
    <mergeCell ref="C36:G36"/>
    <mergeCell ref="C75:D75"/>
    <mergeCell ref="B65:G65"/>
    <mergeCell ref="A73:I73"/>
    <mergeCell ref="E81:F81"/>
    <mergeCell ref="E87:I87"/>
    <mergeCell ref="A40:B40"/>
    <mergeCell ref="D28:H28"/>
    <mergeCell ref="A9:I9"/>
    <mergeCell ref="B31:C31"/>
    <mergeCell ref="A85:B85"/>
    <mergeCell ref="A87:B87"/>
    <mergeCell ref="E84:I84"/>
    <mergeCell ref="D29:H29"/>
    <mergeCell ref="B67:G67"/>
    <mergeCell ref="B56:C56"/>
    <mergeCell ref="E86:I86"/>
    <mergeCell ref="D30:H30"/>
    <mergeCell ref="E76:F76"/>
    <mergeCell ref="B29:C29"/>
    <mergeCell ref="B28:C28"/>
    <mergeCell ref="G80:H80"/>
    <mergeCell ref="E85:I85"/>
    <mergeCell ref="E75:F75"/>
    <mergeCell ref="G79:H79"/>
    <mergeCell ref="B7:I7"/>
    <mergeCell ref="A36:B36"/>
    <mergeCell ref="A41:B41"/>
    <mergeCell ref="E79:F79"/>
    <mergeCell ref="B69:G69"/>
    <mergeCell ref="C77:D77"/>
    <mergeCell ref="E77:F77"/>
    <mergeCell ref="A39:B39"/>
    <mergeCell ref="C42:G42"/>
    <mergeCell ref="B66:G66"/>
    <mergeCell ref="C38:G38"/>
    <mergeCell ref="D32:H32"/>
  </mergeCells>
  <conditionalFormatting sqref="G75:G81">
    <cfRule type="expression" dxfId="24" priority="18">
      <formula>$G75="Abierta"</formula>
    </cfRule>
    <cfRule type="expression" dxfId="23" priority="19">
      <formula>$G75="En seguimiento"</formula>
    </cfRule>
    <cfRule type="expression" dxfId="22" priority="20">
      <formula>$G75="Cerrada"</formula>
    </cfRule>
  </conditionalFormatting>
  <conditionalFormatting sqref="H11:H24">
    <cfRule type="expression" dxfId="21" priority="2">
      <formula>$H11="Pendiente"</formula>
    </cfRule>
    <cfRule type="expression" dxfId="20" priority="3">
      <formula>$H11="En proceso"</formula>
    </cfRule>
    <cfRule type="expression" dxfId="19" priority="4">
      <formula>$H11="Completado"</formula>
    </cfRule>
    <cfRule type="expression" dxfId="18" priority="5">
      <formula>$H11="Bloqueado"</formula>
    </cfRule>
  </conditionalFormatting>
  <conditionalFormatting sqref="H37:H42">
    <cfRule type="expression" dxfId="17" priority="6">
      <formula>$H37="Pendiente"</formula>
    </cfRule>
    <cfRule type="expression" dxfId="16" priority="7">
      <formula>$H37="En proceso"</formula>
    </cfRule>
    <cfRule type="expression" dxfId="15" priority="8">
      <formula>$H37="Completado"</formula>
    </cfRule>
    <cfRule type="expression" dxfId="14" priority="9">
      <formula>$H37="Bloqueado"</formula>
    </cfRule>
  </conditionalFormatting>
  <conditionalFormatting sqref="H60:H64">
    <cfRule type="expression" dxfId="13" priority="10">
      <formula>$H60="Pendiente"</formula>
    </cfRule>
    <cfRule type="expression" dxfId="12" priority="11">
      <formula>$H60="En proceso"</formula>
    </cfRule>
    <cfRule type="expression" dxfId="11" priority="12">
      <formula>$H60="Completado"</formula>
    </cfRule>
    <cfRule type="expression" dxfId="10" priority="13">
      <formula>$H60="Bloqueado"</formula>
    </cfRule>
  </conditionalFormatting>
  <conditionalFormatting sqref="H66:H71">
    <cfRule type="expression" dxfId="9" priority="14">
      <formula>$H66="Pendiente"</formula>
    </cfRule>
    <cfRule type="expression" dxfId="8" priority="15">
      <formula>$H66="En proceso"</formula>
    </cfRule>
    <cfRule type="expression" dxfId="7" priority="16">
      <formula>$H66="Completado"</formula>
    </cfRule>
    <cfRule type="expression" dxfId="6" priority="17">
      <formula>$H66="Bloqueado"</formula>
    </cfRule>
  </conditionalFormatting>
  <dataValidations count="4">
    <dataValidation type="list" allowBlank="1" sqref="H11:H24 H37:H42 H60:H64 H66:H71" xr:uid="{00000000-0002-0000-0100-000000000000}">
      <formula1>"Pendiente,En proceso,Completado,Bloqueado"</formula1>
      <formula2>0</formula2>
    </dataValidation>
    <dataValidation type="list" allowBlank="1" sqref="G75:G81" xr:uid="{00000000-0002-0000-0100-000001000000}">
      <formula1>"Abierta,En seguimiento,Cerrada"</formula1>
      <formula2>0</formula2>
    </dataValidation>
    <dataValidation type="list" allowBlank="1" sqref="C85:C90" xr:uid="{00000000-0002-0000-0100-000002000000}">
      <formula1>"Baja,Media,Alta"</formula1>
      <formula2>0</formula2>
    </dataValidation>
    <dataValidation type="list" allowBlank="1" sqref="D85:D90" xr:uid="{00000000-0002-0000-0100-000003000000}">
      <formula1>"Bajo,Medio,Alto"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7"/>
  <sheetViews>
    <sheetView tabSelected="1" workbookViewId="0">
      <pane xSplit="4" ySplit="1" topLeftCell="G111" activePane="bottomRight" state="frozen"/>
      <selection pane="topRight"/>
      <selection pane="bottomLeft"/>
      <selection pane="bottomRight" activeCell="L117" sqref="L117"/>
    </sheetView>
  </sheetViews>
  <sheetFormatPr baseColWidth="10" defaultColWidth="8.6640625" defaultRowHeight="14.4" x14ac:dyDescent="0.3"/>
  <cols>
    <col min="1" max="1" width="6" customWidth="1"/>
    <col min="2" max="2" width="11" customWidth="1"/>
    <col min="3" max="3" width="13" customWidth="1"/>
    <col min="4" max="4" width="30" customWidth="1"/>
    <col min="5" max="5" width="26" customWidth="1"/>
    <col min="6" max="6" width="8" customWidth="1"/>
    <col min="7" max="7" width="18" customWidth="1"/>
    <col min="8" max="8" width="46" customWidth="1"/>
    <col min="9" max="9" width="28" customWidth="1"/>
    <col min="10" max="11" width="12" customWidth="1"/>
    <col min="12" max="12" width="15" customWidth="1"/>
    <col min="13" max="13" width="19" customWidth="1"/>
  </cols>
  <sheetData>
    <row r="1" spans="1:13" ht="34.049999999999997" customHeight="1" x14ac:dyDescent="0.3">
      <c r="A1" s="6" t="s">
        <v>265</v>
      </c>
      <c r="B1" s="6" t="s">
        <v>266</v>
      </c>
      <c r="C1" s="6" t="s">
        <v>177</v>
      </c>
      <c r="D1" s="6" t="s">
        <v>127</v>
      </c>
      <c r="E1" s="6" t="s">
        <v>267</v>
      </c>
      <c r="F1" s="6" t="s">
        <v>268</v>
      </c>
      <c r="G1" s="6" t="s">
        <v>269</v>
      </c>
      <c r="H1" s="6" t="s">
        <v>270</v>
      </c>
      <c r="I1" s="6" t="s">
        <v>271</v>
      </c>
      <c r="J1" s="6" t="s">
        <v>272</v>
      </c>
      <c r="K1" s="6" t="s">
        <v>158</v>
      </c>
      <c r="L1" s="6" t="s">
        <v>27</v>
      </c>
      <c r="M1" s="6" t="s">
        <v>273</v>
      </c>
    </row>
    <row r="2" spans="1:13" ht="30" customHeight="1" x14ac:dyDescent="0.3">
      <c r="A2" s="26">
        <v>6</v>
      </c>
      <c r="B2" s="33" t="s">
        <v>165</v>
      </c>
      <c r="C2" s="27">
        <v>46286</v>
      </c>
      <c r="D2" s="28" t="s">
        <v>6</v>
      </c>
      <c r="E2" s="50" t="s">
        <v>138</v>
      </c>
      <c r="F2" s="33" t="s">
        <v>29</v>
      </c>
      <c r="G2" s="33" t="s">
        <v>274</v>
      </c>
      <c r="H2" s="29" t="s">
        <v>275</v>
      </c>
      <c r="I2" s="29" t="s">
        <v>276</v>
      </c>
      <c r="J2" s="30">
        <v>1.75</v>
      </c>
      <c r="K2" s="31">
        <v>1.75</v>
      </c>
      <c r="L2" s="32" t="s">
        <v>163</v>
      </c>
      <c r="M2" s="18" t="str">
        <f t="shared" ref="M2:M65" si="0">IF(AND(C2&lt;=FechaCorte,NOT(ISNUMBER(K2))),"Por confirmar","")</f>
        <v/>
      </c>
    </row>
    <row r="3" spans="1:13" ht="30" customHeight="1" x14ac:dyDescent="0.3">
      <c r="A3" s="19">
        <v>3</v>
      </c>
      <c r="B3" s="19" t="s">
        <v>165</v>
      </c>
      <c r="C3" s="20">
        <v>46286</v>
      </c>
      <c r="D3" s="23" t="s">
        <v>5</v>
      </c>
      <c r="E3" s="23" t="s">
        <v>134</v>
      </c>
      <c r="F3" s="19" t="s">
        <v>29</v>
      </c>
      <c r="G3" s="19" t="s">
        <v>277</v>
      </c>
      <c r="H3" s="21" t="s">
        <v>278</v>
      </c>
      <c r="I3" s="21" t="s">
        <v>276</v>
      </c>
      <c r="J3" s="22">
        <v>1.75</v>
      </c>
      <c r="K3" s="24">
        <v>1.75</v>
      </c>
      <c r="L3" s="25" t="s">
        <v>163</v>
      </c>
      <c r="M3" s="18" t="str">
        <f t="shared" si="0"/>
        <v/>
      </c>
    </row>
    <row r="4" spans="1:13" ht="30" customHeight="1" x14ac:dyDescent="0.3">
      <c r="A4" s="19">
        <v>4</v>
      </c>
      <c r="B4" s="19" t="s">
        <v>165</v>
      </c>
      <c r="C4" s="20">
        <v>46286</v>
      </c>
      <c r="D4" s="23" t="s">
        <v>3</v>
      </c>
      <c r="E4" s="23" t="s">
        <v>136</v>
      </c>
      <c r="F4" s="19" t="s">
        <v>29</v>
      </c>
      <c r="G4" s="19" t="s">
        <v>279</v>
      </c>
      <c r="H4" s="21" t="s">
        <v>280</v>
      </c>
      <c r="I4" s="21" t="s">
        <v>281</v>
      </c>
      <c r="J4" s="22">
        <v>1.75</v>
      </c>
      <c r="K4" s="24">
        <v>1.75</v>
      </c>
      <c r="L4" s="25" t="s">
        <v>163</v>
      </c>
      <c r="M4" s="18" t="str">
        <f t="shared" si="0"/>
        <v/>
      </c>
    </row>
    <row r="5" spans="1:13" ht="30" customHeight="1" x14ac:dyDescent="0.3">
      <c r="A5" s="19">
        <v>13</v>
      </c>
      <c r="B5" s="19" t="s">
        <v>165</v>
      </c>
      <c r="C5" s="20">
        <v>46287</v>
      </c>
      <c r="D5" s="23" t="s">
        <v>6</v>
      </c>
      <c r="E5" s="23" t="s">
        <v>138</v>
      </c>
      <c r="F5" s="19" t="s">
        <v>29</v>
      </c>
      <c r="G5" s="19" t="s">
        <v>274</v>
      </c>
      <c r="H5" s="21" t="s">
        <v>275</v>
      </c>
      <c r="I5" s="21" t="s">
        <v>276</v>
      </c>
      <c r="J5" s="22">
        <v>2.25</v>
      </c>
      <c r="K5" s="24">
        <v>2.25</v>
      </c>
      <c r="L5" s="25" t="s">
        <v>163</v>
      </c>
      <c r="M5" s="18" t="str">
        <f t="shared" si="0"/>
        <v/>
      </c>
    </row>
    <row r="6" spans="1:13" ht="30" customHeight="1" x14ac:dyDescent="0.3">
      <c r="A6" s="19">
        <v>8</v>
      </c>
      <c r="B6" s="19" t="s">
        <v>165</v>
      </c>
      <c r="C6" s="20">
        <v>46287</v>
      </c>
      <c r="D6" s="23" t="s">
        <v>5</v>
      </c>
      <c r="E6" s="23" t="s">
        <v>134</v>
      </c>
      <c r="F6" s="19" t="s">
        <v>29</v>
      </c>
      <c r="G6" s="19" t="s">
        <v>277</v>
      </c>
      <c r="H6" s="21" t="s">
        <v>278</v>
      </c>
      <c r="I6" s="21" t="s">
        <v>276</v>
      </c>
      <c r="J6" s="22">
        <v>2.75</v>
      </c>
      <c r="K6" s="24">
        <v>2.75</v>
      </c>
      <c r="L6" s="25" t="s">
        <v>163</v>
      </c>
      <c r="M6" s="18" t="str">
        <f t="shared" si="0"/>
        <v/>
      </c>
    </row>
    <row r="7" spans="1:13" ht="30" customHeight="1" x14ac:dyDescent="0.3">
      <c r="A7" s="19">
        <v>9</v>
      </c>
      <c r="B7" s="19" t="s">
        <v>165</v>
      </c>
      <c r="C7" s="20">
        <v>46287</v>
      </c>
      <c r="D7" s="23" t="s">
        <v>3</v>
      </c>
      <c r="E7" s="23" t="s">
        <v>136</v>
      </c>
      <c r="F7" s="19" t="s">
        <v>29</v>
      </c>
      <c r="G7" s="19" t="s">
        <v>279</v>
      </c>
      <c r="H7" s="21" t="s">
        <v>280</v>
      </c>
      <c r="I7" s="21" t="s">
        <v>281</v>
      </c>
      <c r="J7" s="22">
        <v>0.25</v>
      </c>
      <c r="K7" s="24">
        <v>0.25</v>
      </c>
      <c r="L7" s="25" t="s">
        <v>163</v>
      </c>
      <c r="M7" s="18" t="str">
        <f t="shared" si="0"/>
        <v/>
      </c>
    </row>
    <row r="8" spans="1:13" ht="30" customHeight="1" x14ac:dyDescent="0.3">
      <c r="A8" s="19">
        <v>16</v>
      </c>
      <c r="B8" s="19" t="s">
        <v>165</v>
      </c>
      <c r="C8" s="20">
        <v>46288</v>
      </c>
      <c r="D8" s="23" t="s">
        <v>5</v>
      </c>
      <c r="E8" s="23" t="s">
        <v>134</v>
      </c>
      <c r="F8" s="19" t="s">
        <v>29</v>
      </c>
      <c r="G8" s="19" t="s">
        <v>277</v>
      </c>
      <c r="H8" s="21" t="s">
        <v>278</v>
      </c>
      <c r="I8" s="21" t="s">
        <v>276</v>
      </c>
      <c r="J8" s="22">
        <v>1.5</v>
      </c>
      <c r="K8" s="24">
        <v>1.5</v>
      </c>
      <c r="L8" s="25" t="s">
        <v>163</v>
      </c>
      <c r="M8" s="18" t="str">
        <f t="shared" si="0"/>
        <v/>
      </c>
    </row>
    <row r="9" spans="1:13" ht="30" customHeight="1" x14ac:dyDescent="0.3">
      <c r="A9" s="34">
        <v>5</v>
      </c>
      <c r="B9" s="41" t="s">
        <v>165</v>
      </c>
      <c r="C9" s="35">
        <v>46286</v>
      </c>
      <c r="D9" s="36" t="s">
        <v>4</v>
      </c>
      <c r="E9" s="36" t="s">
        <v>137</v>
      </c>
      <c r="F9" s="41" t="s">
        <v>34</v>
      </c>
      <c r="G9" s="41" t="s">
        <v>282</v>
      </c>
      <c r="H9" s="37" t="s">
        <v>283</v>
      </c>
      <c r="I9" s="37" t="s">
        <v>284</v>
      </c>
      <c r="J9" s="38">
        <v>1.75</v>
      </c>
      <c r="K9" s="39">
        <v>1.75</v>
      </c>
      <c r="L9" s="40" t="s">
        <v>163</v>
      </c>
      <c r="M9" s="18" t="str">
        <f t="shared" si="0"/>
        <v/>
      </c>
    </row>
    <row r="10" spans="1:13" ht="30" customHeight="1" x14ac:dyDescent="0.3">
      <c r="A10" s="19">
        <v>14</v>
      </c>
      <c r="B10" s="19" t="s">
        <v>165</v>
      </c>
      <c r="C10" s="20">
        <v>46287</v>
      </c>
      <c r="D10" s="23" t="s">
        <v>6</v>
      </c>
      <c r="E10" s="23" t="s">
        <v>138</v>
      </c>
      <c r="F10" s="19" t="s">
        <v>34</v>
      </c>
      <c r="G10" s="19" t="s">
        <v>285</v>
      </c>
      <c r="H10" s="21" t="s">
        <v>286</v>
      </c>
      <c r="I10" s="21" t="s">
        <v>287</v>
      </c>
      <c r="J10" s="22">
        <v>0.5</v>
      </c>
      <c r="K10" s="24">
        <v>0.5</v>
      </c>
      <c r="L10" s="25" t="s">
        <v>163</v>
      </c>
      <c r="M10" s="18" t="str">
        <f t="shared" si="0"/>
        <v/>
      </c>
    </row>
    <row r="11" spans="1:13" ht="30" customHeight="1" x14ac:dyDescent="0.3">
      <c r="A11" s="19">
        <v>11</v>
      </c>
      <c r="B11" s="19" t="s">
        <v>165</v>
      </c>
      <c r="C11" s="20">
        <v>46287</v>
      </c>
      <c r="D11" s="23" t="s">
        <v>4</v>
      </c>
      <c r="E11" s="23" t="s">
        <v>137</v>
      </c>
      <c r="F11" s="19" t="s">
        <v>34</v>
      </c>
      <c r="G11" s="19" t="s">
        <v>282</v>
      </c>
      <c r="H11" s="21" t="s">
        <v>283</v>
      </c>
      <c r="I11" s="21" t="s">
        <v>284</v>
      </c>
      <c r="J11" s="22">
        <v>1.75</v>
      </c>
      <c r="K11" s="24">
        <v>1.75</v>
      </c>
      <c r="L11" s="25" t="s">
        <v>76</v>
      </c>
      <c r="M11" s="18" t="str">
        <f t="shared" si="0"/>
        <v/>
      </c>
    </row>
    <row r="12" spans="1:13" ht="30" customHeight="1" x14ac:dyDescent="0.3">
      <c r="A12" s="19">
        <v>24</v>
      </c>
      <c r="B12" s="19" t="s">
        <v>165</v>
      </c>
      <c r="C12" s="20">
        <v>46288</v>
      </c>
      <c r="D12" s="23" t="s">
        <v>6</v>
      </c>
      <c r="E12" s="23" t="s">
        <v>138</v>
      </c>
      <c r="F12" s="19" t="s">
        <v>34</v>
      </c>
      <c r="G12" s="19" t="s">
        <v>285</v>
      </c>
      <c r="H12" s="21" t="s">
        <v>286</v>
      </c>
      <c r="I12" s="21" t="s">
        <v>287</v>
      </c>
      <c r="J12" s="22">
        <v>2.75</v>
      </c>
      <c r="K12" s="24">
        <v>2.75</v>
      </c>
      <c r="L12" s="25" t="s">
        <v>163</v>
      </c>
      <c r="M12" s="18" t="str">
        <f t="shared" si="0"/>
        <v/>
      </c>
    </row>
    <row r="13" spans="1:13" ht="30" customHeight="1" x14ac:dyDescent="0.3">
      <c r="A13" s="19">
        <v>31</v>
      </c>
      <c r="B13" s="19" t="s">
        <v>165</v>
      </c>
      <c r="C13" s="20">
        <v>46289</v>
      </c>
      <c r="D13" s="23" t="s">
        <v>6</v>
      </c>
      <c r="E13" s="23" t="s">
        <v>138</v>
      </c>
      <c r="F13" s="19" t="s">
        <v>34</v>
      </c>
      <c r="G13" s="19" t="s">
        <v>285</v>
      </c>
      <c r="H13" s="21" t="s">
        <v>286</v>
      </c>
      <c r="I13" s="21" t="s">
        <v>287</v>
      </c>
      <c r="J13" s="22">
        <v>0.25</v>
      </c>
      <c r="K13" s="24">
        <v>0.25</v>
      </c>
      <c r="L13" s="25" t="s">
        <v>163</v>
      </c>
      <c r="M13" s="18" t="str">
        <f t="shared" si="0"/>
        <v/>
      </c>
    </row>
    <row r="14" spans="1:13" ht="43.05" customHeight="1" x14ac:dyDescent="0.3">
      <c r="A14" s="19">
        <v>26</v>
      </c>
      <c r="B14" s="19" t="s">
        <v>165</v>
      </c>
      <c r="C14" s="20">
        <v>46287</v>
      </c>
      <c r="D14" s="42" t="s">
        <v>288</v>
      </c>
      <c r="E14" s="42" t="s">
        <v>289</v>
      </c>
      <c r="F14" s="19" t="s">
        <v>34</v>
      </c>
      <c r="G14" s="19" t="s">
        <v>290</v>
      </c>
      <c r="H14" s="21" t="s">
        <v>291</v>
      </c>
      <c r="I14" s="21" t="s">
        <v>292</v>
      </c>
      <c r="J14" s="22">
        <v>1</v>
      </c>
      <c r="K14" s="24">
        <v>1</v>
      </c>
      <c r="L14" s="25" t="s">
        <v>163</v>
      </c>
      <c r="M14" s="18" t="str">
        <f t="shared" si="0"/>
        <v/>
      </c>
    </row>
    <row r="15" spans="1:13" ht="30" customHeight="1" x14ac:dyDescent="0.3">
      <c r="A15" s="19">
        <v>101</v>
      </c>
      <c r="B15" s="19" t="s">
        <v>165</v>
      </c>
      <c r="C15" s="20">
        <v>46302</v>
      </c>
      <c r="D15" s="23" t="s">
        <v>6</v>
      </c>
      <c r="E15" s="23" t="s">
        <v>138</v>
      </c>
      <c r="F15" s="19" t="s">
        <v>34</v>
      </c>
      <c r="G15" s="19" t="s">
        <v>282</v>
      </c>
      <c r="H15" s="21" t="s">
        <v>293</v>
      </c>
      <c r="I15" s="21" t="s">
        <v>284</v>
      </c>
      <c r="J15" s="22">
        <v>1.75</v>
      </c>
      <c r="K15" s="24">
        <v>1.75</v>
      </c>
      <c r="L15" s="25" t="s">
        <v>163</v>
      </c>
      <c r="M15" s="18" t="str">
        <f t="shared" si="0"/>
        <v/>
      </c>
    </row>
    <row r="16" spans="1:13" ht="30" customHeight="1" x14ac:dyDescent="0.3">
      <c r="A16" s="19">
        <v>108</v>
      </c>
      <c r="B16" s="19" t="s">
        <v>165</v>
      </c>
      <c r="C16" s="20">
        <v>46303</v>
      </c>
      <c r="D16" s="23" t="s">
        <v>6</v>
      </c>
      <c r="E16" s="23" t="s">
        <v>138</v>
      </c>
      <c r="F16" s="19" t="s">
        <v>34</v>
      </c>
      <c r="G16" s="19" t="s">
        <v>282</v>
      </c>
      <c r="H16" s="21" t="s">
        <v>293</v>
      </c>
      <c r="I16" s="21" t="s">
        <v>284</v>
      </c>
      <c r="J16" s="22">
        <v>0.25</v>
      </c>
      <c r="K16" s="24">
        <v>0.25</v>
      </c>
      <c r="L16" s="25" t="s">
        <v>163</v>
      </c>
      <c r="M16" s="18" t="str">
        <f t="shared" si="0"/>
        <v/>
      </c>
    </row>
    <row r="17" spans="1:13" ht="30" customHeight="1" x14ac:dyDescent="0.3">
      <c r="A17" s="34">
        <v>12</v>
      </c>
      <c r="B17" s="41" t="s">
        <v>165</v>
      </c>
      <c r="C17" s="35">
        <v>46287</v>
      </c>
      <c r="D17" s="36" t="s">
        <v>4</v>
      </c>
      <c r="E17" s="36" t="s">
        <v>137</v>
      </c>
      <c r="F17" s="41" t="s">
        <v>38</v>
      </c>
      <c r="G17" s="41" t="s">
        <v>40</v>
      </c>
      <c r="H17" s="37" t="s">
        <v>294</v>
      </c>
      <c r="I17" s="37" t="s">
        <v>295</v>
      </c>
      <c r="J17" s="38">
        <v>1</v>
      </c>
      <c r="K17" s="39">
        <v>1</v>
      </c>
      <c r="L17" s="40" t="s">
        <v>163</v>
      </c>
      <c r="M17" s="18" t="str">
        <f t="shared" si="0"/>
        <v/>
      </c>
    </row>
    <row r="18" spans="1:13" ht="30" customHeight="1" x14ac:dyDescent="0.3">
      <c r="A18" s="19">
        <v>10</v>
      </c>
      <c r="B18" s="19" t="s">
        <v>165</v>
      </c>
      <c r="C18" s="20">
        <v>46287</v>
      </c>
      <c r="D18" s="23" t="s">
        <v>3</v>
      </c>
      <c r="E18" s="23" t="s">
        <v>136</v>
      </c>
      <c r="F18" s="19" t="s">
        <v>38</v>
      </c>
      <c r="G18" s="19" t="s">
        <v>40</v>
      </c>
      <c r="H18" s="21" t="s">
        <v>294</v>
      </c>
      <c r="I18" s="21" t="s">
        <v>295</v>
      </c>
      <c r="J18" s="22">
        <v>2.5</v>
      </c>
      <c r="K18" s="24">
        <v>2.5</v>
      </c>
      <c r="L18" s="25" t="s">
        <v>163</v>
      </c>
      <c r="M18" s="18" t="str">
        <f t="shared" si="0"/>
        <v/>
      </c>
    </row>
    <row r="19" spans="1:13" ht="30" customHeight="1" x14ac:dyDescent="0.3">
      <c r="A19" s="19">
        <v>17</v>
      </c>
      <c r="B19" s="19" t="s">
        <v>165</v>
      </c>
      <c r="C19" s="20">
        <v>46288</v>
      </c>
      <c r="D19" s="23" t="s">
        <v>5</v>
      </c>
      <c r="E19" s="23" t="s">
        <v>134</v>
      </c>
      <c r="F19" s="19" t="s">
        <v>38</v>
      </c>
      <c r="G19" s="19" t="s">
        <v>40</v>
      </c>
      <c r="H19" s="21" t="s">
        <v>294</v>
      </c>
      <c r="I19" s="21" t="s">
        <v>295</v>
      </c>
      <c r="J19" s="22">
        <v>1.25</v>
      </c>
      <c r="K19" s="24">
        <v>1.25</v>
      </c>
      <c r="L19" s="47" t="s">
        <v>163</v>
      </c>
      <c r="M19" s="18" t="str">
        <f t="shared" si="0"/>
        <v/>
      </c>
    </row>
    <row r="20" spans="1:13" ht="30" customHeight="1" x14ac:dyDescent="0.3">
      <c r="A20" s="19">
        <v>21</v>
      </c>
      <c r="B20" s="19" t="s">
        <v>165</v>
      </c>
      <c r="C20" s="20">
        <v>46288</v>
      </c>
      <c r="D20" s="23" t="s">
        <v>4</v>
      </c>
      <c r="E20" s="23" t="s">
        <v>137</v>
      </c>
      <c r="F20" s="19" t="s">
        <v>38</v>
      </c>
      <c r="G20" s="19" t="s">
        <v>40</v>
      </c>
      <c r="H20" s="21" t="s">
        <v>294</v>
      </c>
      <c r="I20" s="21" t="s">
        <v>295</v>
      </c>
      <c r="J20" s="22">
        <v>0.25</v>
      </c>
      <c r="K20" s="24">
        <v>0.25</v>
      </c>
      <c r="L20" s="25" t="s">
        <v>163</v>
      </c>
      <c r="M20" s="18" t="str">
        <f t="shared" si="0"/>
        <v/>
      </c>
    </row>
    <row r="21" spans="1:13" x14ac:dyDescent="0.3">
      <c r="A21" s="19">
        <v>23</v>
      </c>
      <c r="B21" s="19" t="s">
        <v>165</v>
      </c>
      <c r="C21" s="20">
        <v>46288</v>
      </c>
      <c r="D21" s="23" t="s">
        <v>4</v>
      </c>
      <c r="E21" s="23" t="s">
        <v>137</v>
      </c>
      <c r="F21" s="19" t="s">
        <v>38</v>
      </c>
      <c r="G21" s="19" t="s">
        <v>40</v>
      </c>
      <c r="H21" s="21" t="s">
        <v>296</v>
      </c>
      <c r="I21" s="21" t="s">
        <v>295</v>
      </c>
      <c r="J21" s="22">
        <v>0</v>
      </c>
      <c r="K21" s="24">
        <v>1.25</v>
      </c>
      <c r="L21" s="47" t="s">
        <v>163</v>
      </c>
      <c r="M21" s="18" t="str">
        <f t="shared" si="0"/>
        <v/>
      </c>
    </row>
    <row r="22" spans="1:13" ht="30" customHeight="1" x14ac:dyDescent="0.3">
      <c r="A22" s="19">
        <v>18</v>
      </c>
      <c r="B22" s="19" t="s">
        <v>165</v>
      </c>
      <c r="C22" s="20">
        <v>46288</v>
      </c>
      <c r="D22" s="23" t="s">
        <v>3</v>
      </c>
      <c r="E22" s="23" t="s">
        <v>136</v>
      </c>
      <c r="F22" s="19" t="s">
        <v>38</v>
      </c>
      <c r="G22" s="19" t="s">
        <v>40</v>
      </c>
      <c r="H22" s="21" t="s">
        <v>294</v>
      </c>
      <c r="I22" s="21" t="s">
        <v>295</v>
      </c>
      <c r="J22" s="22">
        <v>1.25</v>
      </c>
      <c r="K22" s="24">
        <v>1.25</v>
      </c>
      <c r="L22" s="25" t="s">
        <v>163</v>
      </c>
      <c r="M22" s="18" t="str">
        <f t="shared" si="0"/>
        <v/>
      </c>
    </row>
    <row r="23" spans="1:13" ht="30" customHeight="1" x14ac:dyDescent="0.3">
      <c r="A23" s="19">
        <v>27</v>
      </c>
      <c r="B23" s="19" t="s">
        <v>165</v>
      </c>
      <c r="C23" s="20">
        <v>46289</v>
      </c>
      <c r="D23" s="23" t="s">
        <v>5</v>
      </c>
      <c r="E23" s="23" t="s">
        <v>134</v>
      </c>
      <c r="F23" s="19" t="s">
        <v>38</v>
      </c>
      <c r="G23" s="19" t="s">
        <v>40</v>
      </c>
      <c r="H23" s="21" t="s">
        <v>294</v>
      </c>
      <c r="I23" s="21" t="s">
        <v>295</v>
      </c>
      <c r="J23" s="22">
        <v>2.5</v>
      </c>
      <c r="K23" s="24">
        <v>2.5</v>
      </c>
      <c r="L23" s="25" t="s">
        <v>163</v>
      </c>
      <c r="M23" s="18" t="str">
        <f t="shared" si="0"/>
        <v/>
      </c>
    </row>
    <row r="24" spans="1:13" ht="30" customHeight="1" x14ac:dyDescent="0.3">
      <c r="A24" s="19">
        <v>32</v>
      </c>
      <c r="B24" s="19" t="s">
        <v>165</v>
      </c>
      <c r="C24" s="20">
        <v>46289</v>
      </c>
      <c r="D24" s="23" t="s">
        <v>6</v>
      </c>
      <c r="E24" s="23" t="s">
        <v>138</v>
      </c>
      <c r="F24" s="19" t="s">
        <v>38</v>
      </c>
      <c r="G24" s="19" t="s">
        <v>40</v>
      </c>
      <c r="H24" s="21" t="s">
        <v>294</v>
      </c>
      <c r="I24" s="21" t="s">
        <v>295</v>
      </c>
      <c r="J24" s="22">
        <v>2.25</v>
      </c>
      <c r="K24" s="24">
        <v>2.25</v>
      </c>
      <c r="L24" s="25" t="s">
        <v>163</v>
      </c>
      <c r="M24" s="18" t="str">
        <f t="shared" si="0"/>
        <v/>
      </c>
    </row>
    <row r="25" spans="1:13" x14ac:dyDescent="0.3">
      <c r="A25" s="19">
        <v>30</v>
      </c>
      <c r="B25" s="19" t="s">
        <v>165</v>
      </c>
      <c r="C25" s="20">
        <v>46289</v>
      </c>
      <c r="D25" s="23" t="s">
        <v>4</v>
      </c>
      <c r="E25" s="23" t="s">
        <v>137</v>
      </c>
      <c r="F25" s="19" t="s">
        <v>38</v>
      </c>
      <c r="G25" s="19" t="s">
        <v>40</v>
      </c>
      <c r="H25" s="21" t="s">
        <v>296</v>
      </c>
      <c r="I25" s="21" t="s">
        <v>295</v>
      </c>
      <c r="J25" s="22">
        <v>0</v>
      </c>
      <c r="K25" s="24">
        <v>1.25</v>
      </c>
      <c r="L25" s="25" t="s">
        <v>163</v>
      </c>
      <c r="M25" s="18" t="str">
        <f t="shared" si="0"/>
        <v/>
      </c>
    </row>
    <row r="26" spans="1:13" ht="30" customHeight="1" x14ac:dyDescent="0.3">
      <c r="A26" s="19">
        <v>41</v>
      </c>
      <c r="B26" s="19" t="s">
        <v>165</v>
      </c>
      <c r="C26" s="20">
        <v>46293</v>
      </c>
      <c r="D26" s="23" t="s">
        <v>6</v>
      </c>
      <c r="E26" s="23" t="s">
        <v>138</v>
      </c>
      <c r="F26" s="19" t="s">
        <v>38</v>
      </c>
      <c r="G26" s="19" t="s">
        <v>40</v>
      </c>
      <c r="H26" s="21" t="s">
        <v>294</v>
      </c>
      <c r="I26" s="21" t="s">
        <v>295</v>
      </c>
      <c r="J26" s="22">
        <v>1</v>
      </c>
      <c r="K26" s="24">
        <v>1</v>
      </c>
      <c r="L26" s="25" t="s">
        <v>163</v>
      </c>
      <c r="M26" s="18" t="str">
        <f t="shared" si="0"/>
        <v/>
      </c>
    </row>
    <row r="27" spans="1:13" x14ac:dyDescent="0.3">
      <c r="A27" s="19">
        <v>40</v>
      </c>
      <c r="B27" s="19" t="s">
        <v>165</v>
      </c>
      <c r="C27" s="20">
        <v>46293</v>
      </c>
      <c r="D27" s="23" t="s">
        <v>4</v>
      </c>
      <c r="E27" s="23" t="s">
        <v>137</v>
      </c>
      <c r="F27" s="19" t="s">
        <v>38</v>
      </c>
      <c r="G27" s="19" t="s">
        <v>40</v>
      </c>
      <c r="H27" s="21" t="s">
        <v>296</v>
      </c>
      <c r="I27" s="21" t="s">
        <v>295</v>
      </c>
      <c r="J27" s="22">
        <v>0</v>
      </c>
      <c r="K27" s="24">
        <v>1.5</v>
      </c>
      <c r="L27" s="25" t="s">
        <v>163</v>
      </c>
      <c r="M27" s="18" t="str">
        <f t="shared" si="0"/>
        <v/>
      </c>
    </row>
    <row r="28" spans="1:13" x14ac:dyDescent="0.3">
      <c r="A28" s="19">
        <v>38</v>
      </c>
      <c r="B28" s="19" t="s">
        <v>165</v>
      </c>
      <c r="C28" s="20">
        <v>46293</v>
      </c>
      <c r="D28" s="23" t="s">
        <v>3</v>
      </c>
      <c r="E28" s="23" t="s">
        <v>136</v>
      </c>
      <c r="F28" s="19" t="s">
        <v>38</v>
      </c>
      <c r="G28" s="19" t="s">
        <v>40</v>
      </c>
      <c r="H28" s="21" t="s">
        <v>296</v>
      </c>
      <c r="I28" s="21" t="s">
        <v>295</v>
      </c>
      <c r="J28" s="22">
        <v>0</v>
      </c>
      <c r="K28" s="24">
        <v>1</v>
      </c>
      <c r="L28" s="25" t="s">
        <v>163</v>
      </c>
      <c r="M28" s="18" t="str">
        <f t="shared" si="0"/>
        <v/>
      </c>
    </row>
    <row r="29" spans="1:13" ht="30" customHeight="1" x14ac:dyDescent="0.3">
      <c r="A29" s="19">
        <v>54</v>
      </c>
      <c r="B29" s="19" t="s">
        <v>165</v>
      </c>
      <c r="C29" s="20">
        <v>46294</v>
      </c>
      <c r="D29" s="23" t="s">
        <v>6</v>
      </c>
      <c r="E29" s="23" t="s">
        <v>138</v>
      </c>
      <c r="F29" s="19" t="s">
        <v>38</v>
      </c>
      <c r="G29" s="19" t="s">
        <v>40</v>
      </c>
      <c r="H29" s="21" t="s">
        <v>296</v>
      </c>
      <c r="I29" s="21" t="s">
        <v>295</v>
      </c>
      <c r="J29" s="22">
        <v>0</v>
      </c>
      <c r="K29" s="24">
        <v>1.5</v>
      </c>
      <c r="L29" s="25" t="s">
        <v>163</v>
      </c>
      <c r="M29" s="18" t="str">
        <f t="shared" si="0"/>
        <v/>
      </c>
    </row>
    <row r="30" spans="1:13" x14ac:dyDescent="0.3">
      <c r="A30" s="19">
        <v>52</v>
      </c>
      <c r="B30" s="19" t="s">
        <v>165</v>
      </c>
      <c r="C30" s="20">
        <v>46294</v>
      </c>
      <c r="D30" s="23" t="s">
        <v>4</v>
      </c>
      <c r="E30" s="23" t="s">
        <v>137</v>
      </c>
      <c r="F30" s="19" t="s">
        <v>38</v>
      </c>
      <c r="G30" s="19" t="s">
        <v>40</v>
      </c>
      <c r="H30" s="21" t="s">
        <v>296</v>
      </c>
      <c r="I30" s="21" t="s">
        <v>295</v>
      </c>
      <c r="J30" s="22">
        <v>0</v>
      </c>
      <c r="K30" s="24">
        <v>1.25</v>
      </c>
      <c r="L30" s="25" t="s">
        <v>163</v>
      </c>
      <c r="M30" s="18" t="str">
        <f t="shared" si="0"/>
        <v/>
      </c>
    </row>
    <row r="31" spans="1:13" x14ac:dyDescent="0.3">
      <c r="A31" s="19">
        <v>49</v>
      </c>
      <c r="B31" s="19" t="s">
        <v>165</v>
      </c>
      <c r="C31" s="20">
        <v>46294</v>
      </c>
      <c r="D31" s="23" t="s">
        <v>3</v>
      </c>
      <c r="E31" s="23" t="s">
        <v>136</v>
      </c>
      <c r="F31" s="19" t="s">
        <v>38</v>
      </c>
      <c r="G31" s="19" t="s">
        <v>40</v>
      </c>
      <c r="H31" s="21" t="s">
        <v>296</v>
      </c>
      <c r="I31" s="21" t="s">
        <v>295</v>
      </c>
      <c r="J31" s="22">
        <v>0</v>
      </c>
      <c r="K31" s="24">
        <v>1</v>
      </c>
      <c r="L31" s="25" t="s">
        <v>163</v>
      </c>
      <c r="M31" s="18" t="str">
        <f t="shared" si="0"/>
        <v/>
      </c>
    </row>
    <row r="32" spans="1:13" ht="30" customHeight="1" x14ac:dyDescent="0.3">
      <c r="A32" s="19">
        <v>57</v>
      </c>
      <c r="B32" s="19" t="s">
        <v>165</v>
      </c>
      <c r="C32" s="20">
        <v>46295</v>
      </c>
      <c r="D32" s="23" t="s">
        <v>5</v>
      </c>
      <c r="E32" s="23" t="s">
        <v>134</v>
      </c>
      <c r="F32" s="19" t="s">
        <v>38</v>
      </c>
      <c r="G32" s="19" t="s">
        <v>40</v>
      </c>
      <c r="H32" s="21" t="s">
        <v>296</v>
      </c>
      <c r="I32" s="21" t="s">
        <v>295</v>
      </c>
      <c r="J32" s="22">
        <v>0</v>
      </c>
      <c r="K32" s="24">
        <v>1.5</v>
      </c>
      <c r="L32" s="25" t="s">
        <v>163</v>
      </c>
      <c r="M32" s="18" t="str">
        <f t="shared" si="0"/>
        <v/>
      </c>
    </row>
    <row r="33" spans="1:13" ht="30" customHeight="1" x14ac:dyDescent="0.3">
      <c r="A33" s="19">
        <v>64</v>
      </c>
      <c r="B33" s="19" t="s">
        <v>165</v>
      </c>
      <c r="C33" s="20">
        <v>46295</v>
      </c>
      <c r="D33" s="23" t="s">
        <v>6</v>
      </c>
      <c r="E33" s="23" t="s">
        <v>138</v>
      </c>
      <c r="F33" s="19" t="s">
        <v>38</v>
      </c>
      <c r="G33" s="19" t="s">
        <v>40</v>
      </c>
      <c r="H33" s="21" t="s">
        <v>296</v>
      </c>
      <c r="I33" s="21" t="s">
        <v>295</v>
      </c>
      <c r="J33" s="22">
        <v>0</v>
      </c>
      <c r="K33" s="24">
        <v>1.25</v>
      </c>
      <c r="L33" s="25" t="s">
        <v>163</v>
      </c>
      <c r="M33" s="18" t="str">
        <f t="shared" si="0"/>
        <v/>
      </c>
    </row>
    <row r="34" spans="1:13" x14ac:dyDescent="0.3">
      <c r="A34" s="19">
        <v>61</v>
      </c>
      <c r="B34" s="19" t="s">
        <v>165</v>
      </c>
      <c r="C34" s="20">
        <v>46295</v>
      </c>
      <c r="D34" s="23" t="s">
        <v>4</v>
      </c>
      <c r="E34" s="23" t="s">
        <v>137</v>
      </c>
      <c r="F34" s="19" t="s">
        <v>38</v>
      </c>
      <c r="G34" s="19" t="s">
        <v>40</v>
      </c>
      <c r="H34" s="21" t="s">
        <v>296</v>
      </c>
      <c r="I34" s="21" t="s">
        <v>295</v>
      </c>
      <c r="J34" s="22">
        <v>0</v>
      </c>
      <c r="K34" s="24">
        <v>1.5</v>
      </c>
      <c r="L34" s="25" t="s">
        <v>163</v>
      </c>
      <c r="M34" s="18" t="str">
        <f t="shared" si="0"/>
        <v/>
      </c>
    </row>
    <row r="35" spans="1:13" x14ac:dyDescent="0.3">
      <c r="A35" s="19">
        <v>59</v>
      </c>
      <c r="B35" s="19" t="s">
        <v>165</v>
      </c>
      <c r="C35" s="20">
        <v>46295</v>
      </c>
      <c r="D35" s="23" t="s">
        <v>3</v>
      </c>
      <c r="E35" s="23" t="s">
        <v>136</v>
      </c>
      <c r="F35" s="19" t="s">
        <v>38</v>
      </c>
      <c r="G35" s="19" t="s">
        <v>40</v>
      </c>
      <c r="H35" s="21" t="s">
        <v>296</v>
      </c>
      <c r="I35" s="21" t="s">
        <v>295</v>
      </c>
      <c r="J35" s="22">
        <v>0</v>
      </c>
      <c r="K35" s="24">
        <v>1.5</v>
      </c>
      <c r="L35" s="25" t="s">
        <v>163</v>
      </c>
      <c r="M35" s="18" t="str">
        <f t="shared" si="0"/>
        <v/>
      </c>
    </row>
    <row r="36" spans="1:13" ht="30" customHeight="1" x14ac:dyDescent="0.3">
      <c r="A36" s="19">
        <v>67</v>
      </c>
      <c r="B36" s="19" t="s">
        <v>165</v>
      </c>
      <c r="C36" s="20">
        <v>46296</v>
      </c>
      <c r="D36" s="23" t="s">
        <v>5</v>
      </c>
      <c r="E36" s="23" t="s">
        <v>134</v>
      </c>
      <c r="F36" s="19" t="s">
        <v>38</v>
      </c>
      <c r="G36" s="19" t="s">
        <v>40</v>
      </c>
      <c r="H36" s="21" t="s">
        <v>296</v>
      </c>
      <c r="I36" s="21" t="s">
        <v>295</v>
      </c>
      <c r="J36" s="22">
        <v>0</v>
      </c>
      <c r="K36" s="24">
        <v>1.5</v>
      </c>
      <c r="L36" s="25" t="s">
        <v>163</v>
      </c>
      <c r="M36" s="18" t="str">
        <f t="shared" si="0"/>
        <v/>
      </c>
    </row>
    <row r="37" spans="1:13" ht="30" customHeight="1" x14ac:dyDescent="0.3">
      <c r="A37" s="19">
        <v>74</v>
      </c>
      <c r="B37" s="19" t="s">
        <v>165</v>
      </c>
      <c r="C37" s="20">
        <v>46296</v>
      </c>
      <c r="D37" s="23" t="s">
        <v>6</v>
      </c>
      <c r="E37" s="23" t="s">
        <v>138</v>
      </c>
      <c r="F37" s="19" t="s">
        <v>38</v>
      </c>
      <c r="G37" s="19" t="s">
        <v>40</v>
      </c>
      <c r="H37" s="21" t="s">
        <v>296</v>
      </c>
      <c r="I37" s="21" t="s">
        <v>295</v>
      </c>
      <c r="J37" s="22">
        <v>0</v>
      </c>
      <c r="K37" s="24">
        <v>1</v>
      </c>
      <c r="L37" s="25" t="s">
        <v>163</v>
      </c>
      <c r="M37" s="18" t="str">
        <f t="shared" si="0"/>
        <v/>
      </c>
    </row>
    <row r="38" spans="1:13" ht="30" customHeight="1" x14ac:dyDescent="0.3">
      <c r="A38" s="19">
        <v>75</v>
      </c>
      <c r="B38" s="19" t="s">
        <v>165</v>
      </c>
      <c r="C38" s="20">
        <v>46296</v>
      </c>
      <c r="D38" s="23" t="s">
        <v>6</v>
      </c>
      <c r="E38" s="23" t="s">
        <v>138</v>
      </c>
      <c r="F38" s="19" t="s">
        <v>38</v>
      </c>
      <c r="G38" s="19" t="s">
        <v>40</v>
      </c>
      <c r="H38" s="21" t="s">
        <v>296</v>
      </c>
      <c r="I38" s="21" t="s">
        <v>295</v>
      </c>
      <c r="J38" s="22">
        <v>0</v>
      </c>
      <c r="K38" s="24">
        <v>0.5</v>
      </c>
      <c r="L38" s="25" t="s">
        <v>163</v>
      </c>
      <c r="M38" s="18" t="str">
        <f t="shared" si="0"/>
        <v/>
      </c>
    </row>
    <row r="39" spans="1:13" x14ac:dyDescent="0.3">
      <c r="A39" s="19">
        <v>71</v>
      </c>
      <c r="B39" s="19" t="s">
        <v>165</v>
      </c>
      <c r="C39" s="20">
        <v>46296</v>
      </c>
      <c r="D39" s="23" t="s">
        <v>4</v>
      </c>
      <c r="E39" s="23" t="s">
        <v>137</v>
      </c>
      <c r="F39" s="19" t="s">
        <v>38</v>
      </c>
      <c r="G39" s="19" t="s">
        <v>40</v>
      </c>
      <c r="H39" s="21" t="s">
        <v>296</v>
      </c>
      <c r="I39" s="21" t="s">
        <v>295</v>
      </c>
      <c r="J39" s="22">
        <v>0</v>
      </c>
      <c r="K39" s="24">
        <v>1.5</v>
      </c>
      <c r="L39" s="25" t="s">
        <v>163</v>
      </c>
      <c r="M39" s="18" t="str">
        <f t="shared" si="0"/>
        <v/>
      </c>
    </row>
    <row r="40" spans="1:13" x14ac:dyDescent="0.3">
      <c r="A40" s="19">
        <v>69</v>
      </c>
      <c r="B40" s="19" t="s">
        <v>165</v>
      </c>
      <c r="C40" s="20">
        <v>46296</v>
      </c>
      <c r="D40" s="23" t="s">
        <v>3</v>
      </c>
      <c r="E40" s="23" t="s">
        <v>136</v>
      </c>
      <c r="F40" s="19" t="s">
        <v>38</v>
      </c>
      <c r="G40" s="19" t="s">
        <v>40</v>
      </c>
      <c r="H40" s="21" t="s">
        <v>296</v>
      </c>
      <c r="I40" s="21" t="s">
        <v>295</v>
      </c>
      <c r="J40" s="22">
        <v>0</v>
      </c>
      <c r="K40" s="24">
        <v>1.5</v>
      </c>
      <c r="L40" s="25" t="s">
        <v>163</v>
      </c>
      <c r="M40" s="18" t="str">
        <f t="shared" si="0"/>
        <v/>
      </c>
    </row>
    <row r="41" spans="1:13" ht="30" customHeight="1" x14ac:dyDescent="0.3">
      <c r="A41" s="19">
        <v>79</v>
      </c>
      <c r="B41" s="19" t="s">
        <v>165</v>
      </c>
      <c r="C41" s="20">
        <v>46300</v>
      </c>
      <c r="D41" s="23" t="s">
        <v>5</v>
      </c>
      <c r="E41" s="23" t="s">
        <v>134</v>
      </c>
      <c r="F41" s="19" t="s">
        <v>38</v>
      </c>
      <c r="G41" s="19" t="s">
        <v>40</v>
      </c>
      <c r="H41" s="21" t="s">
        <v>296</v>
      </c>
      <c r="I41" s="21" t="s">
        <v>295</v>
      </c>
      <c r="J41" s="22">
        <v>0</v>
      </c>
      <c r="K41" s="24">
        <v>1.25</v>
      </c>
      <c r="L41" s="25" t="s">
        <v>163</v>
      </c>
      <c r="M41" s="18" t="str">
        <f t="shared" si="0"/>
        <v/>
      </c>
    </row>
    <row r="42" spans="1:13" ht="30" customHeight="1" x14ac:dyDescent="0.3">
      <c r="A42" s="19">
        <v>86</v>
      </c>
      <c r="B42" s="19" t="s">
        <v>165</v>
      </c>
      <c r="C42" s="20">
        <v>46300</v>
      </c>
      <c r="D42" s="23" t="s">
        <v>6</v>
      </c>
      <c r="E42" s="23" t="s">
        <v>138</v>
      </c>
      <c r="F42" s="19" t="s">
        <v>38</v>
      </c>
      <c r="G42" s="19" t="s">
        <v>40</v>
      </c>
      <c r="H42" s="21" t="s">
        <v>296</v>
      </c>
      <c r="I42" s="21" t="s">
        <v>295</v>
      </c>
      <c r="J42" s="22">
        <v>0</v>
      </c>
      <c r="K42" s="24">
        <v>1</v>
      </c>
      <c r="L42" s="25" t="s">
        <v>163</v>
      </c>
      <c r="M42" s="18" t="str">
        <f t="shared" si="0"/>
        <v/>
      </c>
    </row>
    <row r="43" spans="1:13" x14ac:dyDescent="0.3">
      <c r="A43" s="19">
        <v>83</v>
      </c>
      <c r="B43" s="19" t="s">
        <v>165</v>
      </c>
      <c r="C43" s="20">
        <v>46300</v>
      </c>
      <c r="D43" s="23" t="s">
        <v>4</v>
      </c>
      <c r="E43" s="23" t="s">
        <v>137</v>
      </c>
      <c r="F43" s="19" t="s">
        <v>38</v>
      </c>
      <c r="G43" s="19" t="s">
        <v>40</v>
      </c>
      <c r="H43" s="21" t="s">
        <v>296</v>
      </c>
      <c r="I43" s="21" t="s">
        <v>295</v>
      </c>
      <c r="J43" s="22">
        <v>0</v>
      </c>
      <c r="K43" s="24">
        <v>1.5</v>
      </c>
      <c r="L43" s="25" t="s">
        <v>163</v>
      </c>
      <c r="M43" s="18" t="str">
        <f t="shared" si="0"/>
        <v/>
      </c>
    </row>
    <row r="44" spans="1:13" x14ac:dyDescent="0.3">
      <c r="A44" s="19">
        <v>81</v>
      </c>
      <c r="B44" s="19" t="s">
        <v>165</v>
      </c>
      <c r="C44" s="20">
        <v>46300</v>
      </c>
      <c r="D44" s="23" t="s">
        <v>3</v>
      </c>
      <c r="E44" s="23" t="s">
        <v>136</v>
      </c>
      <c r="F44" s="19" t="s">
        <v>38</v>
      </c>
      <c r="G44" s="19" t="s">
        <v>40</v>
      </c>
      <c r="H44" s="21" t="s">
        <v>296</v>
      </c>
      <c r="I44" s="21" t="s">
        <v>295</v>
      </c>
      <c r="J44" s="22">
        <v>0</v>
      </c>
      <c r="K44" s="24">
        <v>1.5</v>
      </c>
      <c r="L44" s="25" t="s">
        <v>163</v>
      </c>
      <c r="M44" s="18" t="str">
        <f t="shared" si="0"/>
        <v/>
      </c>
    </row>
    <row r="45" spans="1:13" ht="30" customHeight="1" x14ac:dyDescent="0.3">
      <c r="A45" s="19">
        <v>97</v>
      </c>
      <c r="B45" s="19" t="s">
        <v>165</v>
      </c>
      <c r="C45" s="20">
        <v>46302</v>
      </c>
      <c r="D45" s="23" t="s">
        <v>5</v>
      </c>
      <c r="E45" s="23" t="s">
        <v>134</v>
      </c>
      <c r="F45" s="19" t="s">
        <v>38</v>
      </c>
      <c r="G45" s="19" t="s">
        <v>40</v>
      </c>
      <c r="H45" s="21" t="s">
        <v>294</v>
      </c>
      <c r="I45" s="21" t="s">
        <v>295</v>
      </c>
      <c r="J45" s="22">
        <v>1.75</v>
      </c>
      <c r="K45" s="24">
        <v>1.75</v>
      </c>
      <c r="L45" s="25" t="s">
        <v>163</v>
      </c>
      <c r="M45" s="18" t="str">
        <f t="shared" si="0"/>
        <v/>
      </c>
    </row>
    <row r="46" spans="1:13" ht="30" customHeight="1" x14ac:dyDescent="0.3">
      <c r="A46" s="19">
        <v>99</v>
      </c>
      <c r="B46" s="19" t="s">
        <v>165</v>
      </c>
      <c r="C46" s="20">
        <v>46302</v>
      </c>
      <c r="D46" s="23" t="s">
        <v>4</v>
      </c>
      <c r="E46" s="23" t="s">
        <v>137</v>
      </c>
      <c r="F46" s="19" t="s">
        <v>38</v>
      </c>
      <c r="G46" s="19" t="s">
        <v>40</v>
      </c>
      <c r="H46" s="21" t="s">
        <v>294</v>
      </c>
      <c r="I46" s="21" t="s">
        <v>295</v>
      </c>
      <c r="J46" s="22">
        <v>1</v>
      </c>
      <c r="K46" s="24">
        <v>1</v>
      </c>
      <c r="L46" s="25" t="s">
        <v>163</v>
      </c>
      <c r="M46" s="18" t="str">
        <f t="shared" si="0"/>
        <v/>
      </c>
    </row>
    <row r="47" spans="1:13" ht="30" customHeight="1" x14ac:dyDescent="0.3">
      <c r="A47" s="19">
        <v>98</v>
      </c>
      <c r="B47" s="19" t="s">
        <v>165</v>
      </c>
      <c r="C47" s="20">
        <v>46302</v>
      </c>
      <c r="D47" s="23" t="s">
        <v>3</v>
      </c>
      <c r="E47" s="23" t="s">
        <v>136</v>
      </c>
      <c r="F47" s="19" t="s">
        <v>38</v>
      </c>
      <c r="G47" s="19" t="s">
        <v>40</v>
      </c>
      <c r="H47" s="21" t="s">
        <v>294</v>
      </c>
      <c r="I47" s="21" t="s">
        <v>295</v>
      </c>
      <c r="J47" s="22">
        <v>1.75</v>
      </c>
      <c r="K47" s="24">
        <v>1.75</v>
      </c>
      <c r="L47" s="25" t="s">
        <v>163</v>
      </c>
      <c r="M47" s="18" t="str">
        <f t="shared" si="0"/>
        <v/>
      </c>
    </row>
    <row r="48" spans="1:13" ht="30" customHeight="1" x14ac:dyDescent="0.3">
      <c r="A48" s="19">
        <v>103</v>
      </c>
      <c r="B48" s="19" t="s">
        <v>165</v>
      </c>
      <c r="C48" s="20">
        <v>46303</v>
      </c>
      <c r="D48" s="23" t="s">
        <v>5</v>
      </c>
      <c r="E48" s="23" t="s">
        <v>134</v>
      </c>
      <c r="F48" s="19" t="s">
        <v>38</v>
      </c>
      <c r="G48" s="19" t="s">
        <v>40</v>
      </c>
      <c r="H48" s="21" t="s">
        <v>294</v>
      </c>
      <c r="I48" s="21" t="s">
        <v>295</v>
      </c>
      <c r="J48" s="22">
        <v>0.25</v>
      </c>
      <c r="K48" s="24">
        <v>0.25</v>
      </c>
      <c r="L48" s="25" t="s">
        <v>163</v>
      </c>
      <c r="M48" s="18" t="str">
        <f t="shared" si="0"/>
        <v/>
      </c>
    </row>
    <row r="49" spans="1:13" ht="30" customHeight="1" x14ac:dyDescent="0.3">
      <c r="A49" s="19">
        <v>109</v>
      </c>
      <c r="B49" s="19" t="s">
        <v>165</v>
      </c>
      <c r="C49" s="20">
        <v>46303</v>
      </c>
      <c r="D49" s="23" t="s">
        <v>6</v>
      </c>
      <c r="E49" s="23" t="s">
        <v>138</v>
      </c>
      <c r="F49" s="19" t="s">
        <v>38</v>
      </c>
      <c r="G49" s="19" t="s">
        <v>40</v>
      </c>
      <c r="H49" s="21" t="s">
        <v>294</v>
      </c>
      <c r="I49" s="21" t="s">
        <v>295</v>
      </c>
      <c r="J49" s="22">
        <v>1</v>
      </c>
      <c r="K49" s="24">
        <v>1</v>
      </c>
      <c r="L49" s="47" t="s">
        <v>163</v>
      </c>
      <c r="M49" s="18" t="str">
        <f t="shared" si="0"/>
        <v/>
      </c>
    </row>
    <row r="50" spans="1:13" ht="30" customHeight="1" x14ac:dyDescent="0.3">
      <c r="A50" s="19">
        <v>105</v>
      </c>
      <c r="B50" s="19" t="s">
        <v>165</v>
      </c>
      <c r="C50" s="20">
        <v>46303</v>
      </c>
      <c r="D50" s="23" t="s">
        <v>3</v>
      </c>
      <c r="E50" s="23" t="s">
        <v>136</v>
      </c>
      <c r="F50" s="19" t="s">
        <v>38</v>
      </c>
      <c r="G50" s="19" t="s">
        <v>40</v>
      </c>
      <c r="H50" s="21" t="s">
        <v>294</v>
      </c>
      <c r="I50" s="21" t="s">
        <v>295</v>
      </c>
      <c r="J50" s="22">
        <v>0.25</v>
      </c>
      <c r="K50" s="24">
        <v>0.25</v>
      </c>
      <c r="L50" s="25" t="s">
        <v>163</v>
      </c>
      <c r="M50" s="18" t="str">
        <f t="shared" si="0"/>
        <v/>
      </c>
    </row>
    <row r="51" spans="1:13" ht="30" customHeight="1" x14ac:dyDescent="0.3">
      <c r="A51" s="34">
        <v>19</v>
      </c>
      <c r="B51" s="41" t="s">
        <v>165</v>
      </c>
      <c r="C51" s="35">
        <v>46288</v>
      </c>
      <c r="D51" s="36" t="s">
        <v>3</v>
      </c>
      <c r="E51" s="36" t="s">
        <v>136</v>
      </c>
      <c r="F51" s="41" t="s">
        <v>42</v>
      </c>
      <c r="G51" s="41" t="s">
        <v>297</v>
      </c>
      <c r="H51" s="37" t="s">
        <v>298</v>
      </c>
      <c r="I51" s="37" t="s">
        <v>299</v>
      </c>
      <c r="J51" s="38">
        <v>1</v>
      </c>
      <c r="K51" s="39">
        <v>0.5</v>
      </c>
      <c r="L51" s="40" t="s">
        <v>163</v>
      </c>
      <c r="M51" s="18" t="str">
        <f t="shared" si="0"/>
        <v/>
      </c>
    </row>
    <row r="52" spans="1:13" ht="30" customHeight="1" x14ac:dyDescent="0.3">
      <c r="A52" s="19">
        <v>35</v>
      </c>
      <c r="B52" s="19" t="s">
        <v>165</v>
      </c>
      <c r="C52" s="20">
        <v>46293</v>
      </c>
      <c r="D52" s="23" t="s">
        <v>5</v>
      </c>
      <c r="E52" s="23" t="s">
        <v>134</v>
      </c>
      <c r="F52" s="19" t="s">
        <v>42</v>
      </c>
      <c r="G52" s="19" t="s">
        <v>297</v>
      </c>
      <c r="H52" s="21" t="s">
        <v>300</v>
      </c>
      <c r="I52" s="21" t="s">
        <v>301</v>
      </c>
      <c r="J52" s="22">
        <v>1.75</v>
      </c>
      <c r="K52" s="24">
        <v>1</v>
      </c>
      <c r="L52" s="25" t="s">
        <v>32</v>
      </c>
      <c r="M52" s="18" t="str">
        <f t="shared" si="0"/>
        <v/>
      </c>
    </row>
    <row r="53" spans="1:13" ht="30" customHeight="1" x14ac:dyDescent="0.3">
      <c r="A53" s="19">
        <v>42</v>
      </c>
      <c r="B53" s="19" t="s">
        <v>165</v>
      </c>
      <c r="C53" s="20">
        <v>46293</v>
      </c>
      <c r="D53" s="23" t="s">
        <v>6</v>
      </c>
      <c r="E53" s="23" t="s">
        <v>138</v>
      </c>
      <c r="F53" s="19" t="s">
        <v>42</v>
      </c>
      <c r="G53" s="19" t="s">
        <v>302</v>
      </c>
      <c r="H53" s="21" t="s">
        <v>303</v>
      </c>
      <c r="I53" s="21" t="s">
        <v>304</v>
      </c>
      <c r="J53" s="22">
        <v>1</v>
      </c>
      <c r="K53" s="24">
        <v>0</v>
      </c>
      <c r="L53" s="25" t="s">
        <v>32</v>
      </c>
      <c r="M53" s="18" t="str">
        <f t="shared" si="0"/>
        <v/>
      </c>
    </row>
    <row r="54" spans="1:13" ht="30" customHeight="1" x14ac:dyDescent="0.3">
      <c r="A54" s="19">
        <v>45</v>
      </c>
      <c r="B54" s="19" t="s">
        <v>165</v>
      </c>
      <c r="C54" s="20">
        <v>46294</v>
      </c>
      <c r="D54" s="23" t="s">
        <v>5</v>
      </c>
      <c r="E54" s="23" t="s">
        <v>134</v>
      </c>
      <c r="F54" s="19" t="s">
        <v>42</v>
      </c>
      <c r="G54" s="19" t="s">
        <v>297</v>
      </c>
      <c r="H54" s="21" t="s">
        <v>300</v>
      </c>
      <c r="I54" s="21" t="s">
        <v>301</v>
      </c>
      <c r="J54" s="22">
        <v>2.25</v>
      </c>
      <c r="K54" s="24">
        <v>1</v>
      </c>
      <c r="L54" s="25" t="s">
        <v>32</v>
      </c>
      <c r="M54" s="18" t="str">
        <f t="shared" si="0"/>
        <v/>
      </c>
    </row>
    <row r="55" spans="1:13" ht="30" customHeight="1" x14ac:dyDescent="0.3">
      <c r="A55" s="19">
        <v>104</v>
      </c>
      <c r="B55" s="19" t="s">
        <v>165</v>
      </c>
      <c r="C55" s="20">
        <v>46303</v>
      </c>
      <c r="D55" s="23" t="s">
        <v>5</v>
      </c>
      <c r="E55" s="23" t="s">
        <v>134</v>
      </c>
      <c r="F55" s="19" t="s">
        <v>42</v>
      </c>
      <c r="G55" s="19" t="s">
        <v>297</v>
      </c>
      <c r="H55" s="21" t="s">
        <v>300</v>
      </c>
      <c r="I55" s="21" t="s">
        <v>301</v>
      </c>
      <c r="J55" s="22">
        <v>2.5</v>
      </c>
      <c r="K55" s="24">
        <v>1.25</v>
      </c>
      <c r="L55" s="25" t="s">
        <v>32</v>
      </c>
      <c r="M55" s="18" t="str">
        <f t="shared" si="0"/>
        <v/>
      </c>
    </row>
    <row r="56" spans="1:13" ht="43.05" customHeight="1" x14ac:dyDescent="0.3">
      <c r="A56" s="34">
        <v>22</v>
      </c>
      <c r="B56" s="41" t="s">
        <v>165</v>
      </c>
      <c r="C56" s="35">
        <v>46288</v>
      </c>
      <c r="D56" s="36" t="s">
        <v>4</v>
      </c>
      <c r="E56" s="36" t="s">
        <v>137</v>
      </c>
      <c r="F56" s="41" t="s">
        <v>46</v>
      </c>
      <c r="G56" s="41" t="s">
        <v>48</v>
      </c>
      <c r="H56" s="37" t="s">
        <v>305</v>
      </c>
      <c r="I56" s="37" t="s">
        <v>306</v>
      </c>
      <c r="J56" s="38">
        <v>2.5</v>
      </c>
      <c r="K56" s="39">
        <v>2.5</v>
      </c>
      <c r="L56" s="40" t="s">
        <v>163</v>
      </c>
      <c r="M56" s="18" t="str">
        <f>IF(AND(C56&lt;=FechaCorte,NOT(ISNUMBER(K56))),"Por confirmar","")</f>
        <v/>
      </c>
    </row>
    <row r="57" spans="1:13" ht="43.05" customHeight="1" x14ac:dyDescent="0.3">
      <c r="A57" s="19">
        <v>29</v>
      </c>
      <c r="B57" s="19" t="s">
        <v>165</v>
      </c>
      <c r="C57" s="20">
        <v>46289</v>
      </c>
      <c r="D57" s="23" t="s">
        <v>4</v>
      </c>
      <c r="E57" s="23" t="s">
        <v>137</v>
      </c>
      <c r="F57" s="19" t="s">
        <v>46</v>
      </c>
      <c r="G57" s="19" t="s">
        <v>48</v>
      </c>
      <c r="H57" s="21" t="s">
        <v>305</v>
      </c>
      <c r="I57" s="21" t="s">
        <v>306</v>
      </c>
      <c r="J57" s="22">
        <v>2.5</v>
      </c>
      <c r="K57" s="24">
        <v>1.25</v>
      </c>
      <c r="L57" s="25" t="s">
        <v>163</v>
      </c>
      <c r="M57" s="18" t="str">
        <f>IF(AND(C57&lt;=FechaCorte,NOT(ISNUMBER(K57))),"Por confirmar","")</f>
        <v/>
      </c>
    </row>
    <row r="58" spans="1:13" ht="43.05" customHeight="1" x14ac:dyDescent="0.3">
      <c r="A58" s="19">
        <v>39</v>
      </c>
      <c r="B58" s="19" t="s">
        <v>165</v>
      </c>
      <c r="C58" s="20">
        <v>46293</v>
      </c>
      <c r="D58" s="23" t="s">
        <v>4</v>
      </c>
      <c r="E58" s="23" t="s">
        <v>137</v>
      </c>
      <c r="F58" s="19" t="s">
        <v>46</v>
      </c>
      <c r="G58" s="19" t="s">
        <v>48</v>
      </c>
      <c r="H58" s="21" t="s">
        <v>305</v>
      </c>
      <c r="I58" s="21" t="s">
        <v>306</v>
      </c>
      <c r="J58" s="22">
        <v>2.75</v>
      </c>
      <c r="K58" s="24">
        <v>1.25</v>
      </c>
      <c r="L58" s="25" t="s">
        <v>163</v>
      </c>
      <c r="M58" s="18" t="str">
        <f>IF(AND(C58&lt;=FechaCorte,NOT(ISNUMBER(K58))),"Por confirmar","")</f>
        <v/>
      </c>
    </row>
    <row r="59" spans="1:13" ht="43.05" customHeight="1" x14ac:dyDescent="0.3">
      <c r="A59" s="19">
        <v>50</v>
      </c>
      <c r="B59" s="19" t="s">
        <v>165</v>
      </c>
      <c r="C59" s="20">
        <v>46294</v>
      </c>
      <c r="D59" s="23" t="s">
        <v>4</v>
      </c>
      <c r="E59" s="23" t="s">
        <v>137</v>
      </c>
      <c r="F59" s="19" t="s">
        <v>46</v>
      </c>
      <c r="G59" s="19" t="s">
        <v>48</v>
      </c>
      <c r="H59" s="21" t="s">
        <v>305</v>
      </c>
      <c r="I59" s="21" t="s">
        <v>306</v>
      </c>
      <c r="J59" s="22">
        <v>0.25</v>
      </c>
      <c r="K59" s="24">
        <v>0.25</v>
      </c>
      <c r="L59" s="25" t="s">
        <v>163</v>
      </c>
      <c r="M59" s="18" t="str">
        <f>IF(AND(C59&lt;=FechaCorte,NOT(ISNUMBER(K59))),"Por confirmar","")</f>
        <v/>
      </c>
    </row>
    <row r="60" spans="1:13" ht="69" customHeight="1" x14ac:dyDescent="0.3">
      <c r="A60" s="19">
        <v>100</v>
      </c>
      <c r="B60" s="19" t="s">
        <v>165</v>
      </c>
      <c r="C60" s="20">
        <v>46302</v>
      </c>
      <c r="D60" s="23" t="s">
        <v>4</v>
      </c>
      <c r="E60" s="23" t="s">
        <v>137</v>
      </c>
      <c r="F60" s="19" t="s">
        <v>46</v>
      </c>
      <c r="G60" s="19" t="s">
        <v>48</v>
      </c>
      <c r="H60" s="21" t="s">
        <v>305</v>
      </c>
      <c r="I60" s="21" t="s">
        <v>306</v>
      </c>
      <c r="J60" s="22">
        <v>0.75</v>
      </c>
      <c r="K60" s="24">
        <v>0.75</v>
      </c>
      <c r="L60" s="25" t="s">
        <v>163</v>
      </c>
      <c r="M60" s="18" t="str">
        <f t="shared" si="0"/>
        <v/>
      </c>
    </row>
    <row r="61" spans="1:13" ht="69" customHeight="1" x14ac:dyDescent="0.3">
      <c r="A61" s="19">
        <v>110</v>
      </c>
      <c r="B61" s="19" t="s">
        <v>165</v>
      </c>
      <c r="C61" s="20">
        <v>46303</v>
      </c>
      <c r="D61" s="23" t="s">
        <v>6</v>
      </c>
      <c r="E61" s="23" t="s">
        <v>138</v>
      </c>
      <c r="F61" s="19" t="s">
        <v>46</v>
      </c>
      <c r="G61" s="19" t="s">
        <v>48</v>
      </c>
      <c r="H61" s="21" t="s">
        <v>305</v>
      </c>
      <c r="I61" s="21" t="s">
        <v>306</v>
      </c>
      <c r="J61" s="22">
        <v>1.5</v>
      </c>
      <c r="K61" s="24">
        <v>1.5</v>
      </c>
      <c r="L61" s="25" t="s">
        <v>163</v>
      </c>
      <c r="M61" s="18" t="str">
        <f t="shared" si="0"/>
        <v/>
      </c>
    </row>
    <row r="62" spans="1:13" ht="69" customHeight="1" x14ac:dyDescent="0.3">
      <c r="A62" s="19">
        <v>107</v>
      </c>
      <c r="B62" s="19" t="s">
        <v>165</v>
      </c>
      <c r="C62" s="20">
        <v>46303</v>
      </c>
      <c r="D62" s="23" t="s">
        <v>4</v>
      </c>
      <c r="E62" s="23" t="s">
        <v>137</v>
      </c>
      <c r="F62" s="19" t="s">
        <v>46</v>
      </c>
      <c r="G62" s="19" t="s">
        <v>48</v>
      </c>
      <c r="H62" s="21" t="s">
        <v>305</v>
      </c>
      <c r="I62" s="21" t="s">
        <v>306</v>
      </c>
      <c r="J62" s="22">
        <v>2.75</v>
      </c>
      <c r="K62" s="24">
        <v>2.75</v>
      </c>
      <c r="L62" s="25" t="s">
        <v>163</v>
      </c>
      <c r="M62" s="18" t="str">
        <f t="shared" si="0"/>
        <v/>
      </c>
    </row>
    <row r="63" spans="1:13" x14ac:dyDescent="0.3">
      <c r="A63" s="34">
        <v>20</v>
      </c>
      <c r="B63" s="41" t="s">
        <v>165</v>
      </c>
      <c r="C63" s="35">
        <v>46288</v>
      </c>
      <c r="D63" s="36" t="s">
        <v>3</v>
      </c>
      <c r="E63" s="36" t="s">
        <v>136</v>
      </c>
      <c r="F63" s="41" t="s">
        <v>49</v>
      </c>
      <c r="G63" s="41" t="s">
        <v>307</v>
      </c>
      <c r="H63" s="37" t="s">
        <v>308</v>
      </c>
      <c r="I63" s="37" t="s">
        <v>309</v>
      </c>
      <c r="J63" s="38">
        <v>0.5</v>
      </c>
      <c r="K63" s="39">
        <v>0.5</v>
      </c>
      <c r="L63" s="40" t="s">
        <v>163</v>
      </c>
      <c r="M63" s="18" t="str">
        <f t="shared" si="0"/>
        <v/>
      </c>
    </row>
    <row r="64" spans="1:13" x14ac:dyDescent="0.3">
      <c r="A64" s="19">
        <v>28</v>
      </c>
      <c r="B64" s="19" t="s">
        <v>165</v>
      </c>
      <c r="C64" s="20">
        <v>46289</v>
      </c>
      <c r="D64" s="23" t="s">
        <v>3</v>
      </c>
      <c r="E64" s="23" t="s">
        <v>136</v>
      </c>
      <c r="F64" s="19" t="s">
        <v>49</v>
      </c>
      <c r="G64" s="19" t="s">
        <v>307</v>
      </c>
      <c r="H64" s="21" t="s">
        <v>308</v>
      </c>
      <c r="I64" s="21" t="s">
        <v>309</v>
      </c>
      <c r="J64" s="22">
        <v>2.5</v>
      </c>
      <c r="K64" s="24">
        <v>2</v>
      </c>
      <c r="L64" s="25" t="s">
        <v>163</v>
      </c>
      <c r="M64" s="18" t="str">
        <f t="shared" si="0"/>
        <v/>
      </c>
    </row>
    <row r="65" spans="1:13" x14ac:dyDescent="0.3">
      <c r="A65" s="19">
        <v>36</v>
      </c>
      <c r="B65" s="19" t="s">
        <v>165</v>
      </c>
      <c r="C65" s="20">
        <v>46293</v>
      </c>
      <c r="D65" s="23" t="s">
        <v>3</v>
      </c>
      <c r="E65" s="23" t="s">
        <v>136</v>
      </c>
      <c r="F65" s="19" t="s">
        <v>49</v>
      </c>
      <c r="G65" s="19" t="s">
        <v>307</v>
      </c>
      <c r="H65" s="21" t="s">
        <v>308</v>
      </c>
      <c r="I65" s="21" t="s">
        <v>309</v>
      </c>
      <c r="J65" s="22">
        <v>1</v>
      </c>
      <c r="K65" s="24">
        <v>0.75</v>
      </c>
      <c r="L65" s="25" t="s">
        <v>163</v>
      </c>
      <c r="M65" s="18" t="str">
        <f t="shared" si="0"/>
        <v/>
      </c>
    </row>
    <row r="66" spans="1:13" ht="43.05" customHeight="1" x14ac:dyDescent="0.3">
      <c r="A66" s="19">
        <v>106</v>
      </c>
      <c r="B66" s="19" t="s">
        <v>165</v>
      </c>
      <c r="C66" s="20">
        <v>46303</v>
      </c>
      <c r="D66" s="23" t="s">
        <v>3</v>
      </c>
      <c r="E66" s="23" t="s">
        <v>136</v>
      </c>
      <c r="F66" s="19" t="s">
        <v>49</v>
      </c>
      <c r="G66" s="19" t="s">
        <v>307</v>
      </c>
      <c r="H66" s="21" t="s">
        <v>308</v>
      </c>
      <c r="I66" s="21" t="s">
        <v>309</v>
      </c>
      <c r="J66" s="22">
        <v>2.5</v>
      </c>
      <c r="K66" s="24">
        <v>2</v>
      </c>
      <c r="L66" s="25" t="s">
        <v>163</v>
      </c>
      <c r="M66" s="18" t="str">
        <f t="shared" ref="M66:M129" si="1">IF(AND(C66&lt;=FechaCorte,NOT(ISNUMBER(K66))),"Por confirmar","")</f>
        <v/>
      </c>
    </row>
    <row r="67" spans="1:13" ht="43.05" customHeight="1" x14ac:dyDescent="0.3">
      <c r="A67" s="34">
        <v>37</v>
      </c>
      <c r="B67" s="41" t="s">
        <v>165</v>
      </c>
      <c r="C67" s="35">
        <v>46293</v>
      </c>
      <c r="D67" s="36" t="s">
        <v>3</v>
      </c>
      <c r="E67" s="36" t="s">
        <v>136</v>
      </c>
      <c r="F67" s="41" t="s">
        <v>53</v>
      </c>
      <c r="G67" s="41" t="s">
        <v>310</v>
      </c>
      <c r="H67" s="37" t="s">
        <v>311</v>
      </c>
      <c r="I67" s="37" t="s">
        <v>312</v>
      </c>
      <c r="J67" s="38">
        <v>1.75</v>
      </c>
      <c r="K67" s="39">
        <v>1</v>
      </c>
      <c r="L67" s="40" t="s">
        <v>163</v>
      </c>
      <c r="M67" s="18" t="str">
        <f t="shared" ref="M67:M90" si="2">IF(AND(C67&lt;=FechaCorte,NOT(ISNUMBER(K67))),"Por confirmar","")</f>
        <v/>
      </c>
    </row>
    <row r="68" spans="1:13" ht="43.05" customHeight="1" x14ac:dyDescent="0.3">
      <c r="A68" s="19">
        <v>43</v>
      </c>
      <c r="B68" s="19" t="s">
        <v>165</v>
      </c>
      <c r="C68" s="20">
        <v>46293</v>
      </c>
      <c r="D68" s="23" t="s">
        <v>6</v>
      </c>
      <c r="E68" s="23" t="s">
        <v>138</v>
      </c>
      <c r="F68" s="19" t="s">
        <v>53</v>
      </c>
      <c r="G68" s="19" t="s">
        <v>313</v>
      </c>
      <c r="H68" s="21" t="s">
        <v>314</v>
      </c>
      <c r="I68" s="21" t="s">
        <v>312</v>
      </c>
      <c r="J68" s="22">
        <v>0.75</v>
      </c>
      <c r="K68" s="24">
        <v>0.75</v>
      </c>
      <c r="L68" s="25" t="s">
        <v>163</v>
      </c>
      <c r="M68" s="18" t="str">
        <f t="shared" si="2"/>
        <v/>
      </c>
    </row>
    <row r="69" spans="1:13" ht="43.05" customHeight="1" x14ac:dyDescent="0.3">
      <c r="A69" s="19">
        <v>46</v>
      </c>
      <c r="B69" s="19" t="s">
        <v>165</v>
      </c>
      <c r="C69" s="20">
        <v>46294</v>
      </c>
      <c r="D69" s="23" t="s">
        <v>5</v>
      </c>
      <c r="E69" s="23" t="s">
        <v>134</v>
      </c>
      <c r="F69" s="19" t="s">
        <v>53</v>
      </c>
      <c r="G69" s="19" t="s">
        <v>310</v>
      </c>
      <c r="H69" s="21" t="s">
        <v>311</v>
      </c>
      <c r="I69" s="21" t="s">
        <v>312</v>
      </c>
      <c r="J69" s="22">
        <v>0.5</v>
      </c>
      <c r="K69" s="24">
        <v>0.5</v>
      </c>
      <c r="L69" s="25" t="s">
        <v>163</v>
      </c>
      <c r="M69" s="18" t="str">
        <f t="shared" si="2"/>
        <v/>
      </c>
    </row>
    <row r="70" spans="1:13" ht="43.05" customHeight="1" x14ac:dyDescent="0.3">
      <c r="A70" s="19">
        <v>51</v>
      </c>
      <c r="B70" s="19" t="s">
        <v>165</v>
      </c>
      <c r="C70" s="20">
        <v>46294</v>
      </c>
      <c r="D70" s="23" t="s">
        <v>4</v>
      </c>
      <c r="E70" s="23" t="s">
        <v>137</v>
      </c>
      <c r="F70" s="19" t="s">
        <v>53</v>
      </c>
      <c r="G70" s="19" t="s">
        <v>310</v>
      </c>
      <c r="H70" s="21" t="s">
        <v>311</v>
      </c>
      <c r="I70" s="21" t="s">
        <v>312</v>
      </c>
      <c r="J70" s="22">
        <v>2.5</v>
      </c>
      <c r="K70" s="24">
        <v>1.25</v>
      </c>
      <c r="L70" s="25" t="s">
        <v>163</v>
      </c>
      <c r="M70" s="18" t="str">
        <f t="shared" si="2"/>
        <v/>
      </c>
    </row>
    <row r="71" spans="1:13" ht="43.05" customHeight="1" x14ac:dyDescent="0.3">
      <c r="A71" s="19">
        <v>47</v>
      </c>
      <c r="B71" s="19" t="s">
        <v>165</v>
      </c>
      <c r="C71" s="20">
        <v>46294</v>
      </c>
      <c r="D71" s="23" t="s">
        <v>3</v>
      </c>
      <c r="E71" s="23" t="s">
        <v>136</v>
      </c>
      <c r="F71" s="19" t="s">
        <v>53</v>
      </c>
      <c r="G71" s="19" t="s">
        <v>310</v>
      </c>
      <c r="H71" s="21" t="s">
        <v>311</v>
      </c>
      <c r="I71" s="21" t="s">
        <v>312</v>
      </c>
      <c r="J71" s="22">
        <v>2.25</v>
      </c>
      <c r="K71" s="24">
        <v>1.25</v>
      </c>
      <c r="L71" s="25" t="s">
        <v>163</v>
      </c>
      <c r="M71" s="18" t="str">
        <f t="shared" si="2"/>
        <v/>
      </c>
    </row>
    <row r="72" spans="1:13" ht="43.05" customHeight="1" x14ac:dyDescent="0.3">
      <c r="A72" s="19">
        <v>53</v>
      </c>
      <c r="B72" s="19" t="s">
        <v>165</v>
      </c>
      <c r="C72" s="20">
        <v>46294</v>
      </c>
      <c r="D72" s="23" t="s">
        <v>6</v>
      </c>
      <c r="E72" s="23" t="s">
        <v>138</v>
      </c>
      <c r="F72" s="19" t="s">
        <v>53</v>
      </c>
      <c r="G72" s="19" t="s">
        <v>313</v>
      </c>
      <c r="H72" s="21" t="s">
        <v>314</v>
      </c>
      <c r="I72" s="21" t="s">
        <v>312</v>
      </c>
      <c r="J72" s="22">
        <v>2.75</v>
      </c>
      <c r="K72" s="24">
        <v>1.25</v>
      </c>
      <c r="L72" s="25" t="s">
        <v>163</v>
      </c>
      <c r="M72" s="18" t="str">
        <f t="shared" si="2"/>
        <v/>
      </c>
    </row>
    <row r="73" spans="1:13" ht="43.05" customHeight="1" x14ac:dyDescent="0.3">
      <c r="A73" s="19">
        <v>56</v>
      </c>
      <c r="B73" s="19" t="s">
        <v>165</v>
      </c>
      <c r="C73" s="20">
        <v>46295</v>
      </c>
      <c r="D73" s="23" t="s">
        <v>5</v>
      </c>
      <c r="E73" s="23" t="s">
        <v>134</v>
      </c>
      <c r="F73" s="19" t="s">
        <v>53</v>
      </c>
      <c r="G73" s="19" t="s">
        <v>310</v>
      </c>
      <c r="H73" s="21" t="s">
        <v>311</v>
      </c>
      <c r="I73" s="21" t="s">
        <v>312</v>
      </c>
      <c r="J73" s="22">
        <v>2.75</v>
      </c>
      <c r="K73" s="24">
        <v>1.25</v>
      </c>
      <c r="L73" s="25" t="s">
        <v>163</v>
      </c>
      <c r="M73" s="18" t="str">
        <f t="shared" si="2"/>
        <v/>
      </c>
    </row>
    <row r="74" spans="1:13" ht="43.05" customHeight="1" x14ac:dyDescent="0.3">
      <c r="A74" s="19">
        <v>60</v>
      </c>
      <c r="B74" s="19" t="s">
        <v>165</v>
      </c>
      <c r="C74" s="20">
        <v>46295</v>
      </c>
      <c r="D74" s="23" t="s">
        <v>4</v>
      </c>
      <c r="E74" s="23" t="s">
        <v>137</v>
      </c>
      <c r="F74" s="19" t="s">
        <v>53</v>
      </c>
      <c r="G74" s="19" t="s">
        <v>310</v>
      </c>
      <c r="H74" s="21" t="s">
        <v>311</v>
      </c>
      <c r="I74" s="21" t="s">
        <v>312</v>
      </c>
      <c r="J74" s="22">
        <v>2.75</v>
      </c>
      <c r="K74" s="24">
        <v>1.25</v>
      </c>
      <c r="L74" s="25" t="s">
        <v>163</v>
      </c>
      <c r="M74" s="18" t="str">
        <f t="shared" si="2"/>
        <v/>
      </c>
    </row>
    <row r="75" spans="1:13" ht="43.05" customHeight="1" x14ac:dyDescent="0.3">
      <c r="A75" s="19">
        <v>62</v>
      </c>
      <c r="B75" s="19" t="s">
        <v>165</v>
      </c>
      <c r="C75" s="20">
        <v>46295</v>
      </c>
      <c r="D75" s="23" t="s">
        <v>6</v>
      </c>
      <c r="E75" s="23" t="s">
        <v>138</v>
      </c>
      <c r="F75" s="19" t="s">
        <v>53</v>
      </c>
      <c r="G75" s="19" t="s">
        <v>313</v>
      </c>
      <c r="H75" s="21" t="s">
        <v>314</v>
      </c>
      <c r="I75" s="21" t="s">
        <v>312</v>
      </c>
      <c r="J75" s="22">
        <v>2.5</v>
      </c>
      <c r="K75" s="24">
        <v>1.25</v>
      </c>
      <c r="L75" s="25" t="s">
        <v>163</v>
      </c>
      <c r="M75" s="18" t="str">
        <f t="shared" si="2"/>
        <v/>
      </c>
    </row>
    <row r="76" spans="1:13" ht="43.05" customHeight="1" x14ac:dyDescent="0.3">
      <c r="A76" s="19">
        <v>66</v>
      </c>
      <c r="B76" s="19" t="s">
        <v>165</v>
      </c>
      <c r="C76" s="20">
        <v>46296</v>
      </c>
      <c r="D76" s="23" t="s">
        <v>5</v>
      </c>
      <c r="E76" s="23" t="s">
        <v>134</v>
      </c>
      <c r="F76" s="19" t="s">
        <v>53</v>
      </c>
      <c r="G76" s="19" t="s">
        <v>310</v>
      </c>
      <c r="H76" s="21" t="s">
        <v>311</v>
      </c>
      <c r="I76" s="21" t="s">
        <v>312</v>
      </c>
      <c r="J76" s="22">
        <v>2.75</v>
      </c>
      <c r="K76" s="24">
        <v>1.25</v>
      </c>
      <c r="L76" s="25" t="s">
        <v>163</v>
      </c>
      <c r="M76" s="18" t="str">
        <f t="shared" si="2"/>
        <v/>
      </c>
    </row>
    <row r="77" spans="1:13" ht="43.05" customHeight="1" x14ac:dyDescent="0.3">
      <c r="A77" s="19">
        <v>70</v>
      </c>
      <c r="B77" s="19" t="s">
        <v>165</v>
      </c>
      <c r="C77" s="20">
        <v>46296</v>
      </c>
      <c r="D77" s="23" t="s">
        <v>4</v>
      </c>
      <c r="E77" s="23" t="s">
        <v>137</v>
      </c>
      <c r="F77" s="19" t="s">
        <v>53</v>
      </c>
      <c r="G77" s="19" t="s">
        <v>310</v>
      </c>
      <c r="H77" s="21" t="s">
        <v>311</v>
      </c>
      <c r="I77" s="21" t="s">
        <v>312</v>
      </c>
      <c r="J77" s="22">
        <v>2.75</v>
      </c>
      <c r="K77" s="24">
        <v>1.25</v>
      </c>
      <c r="L77" s="25" t="s">
        <v>163</v>
      </c>
      <c r="M77" s="18" t="str">
        <f t="shared" si="2"/>
        <v/>
      </c>
    </row>
    <row r="78" spans="1:13" ht="43.05" customHeight="1" x14ac:dyDescent="0.3">
      <c r="A78" s="34">
        <v>48</v>
      </c>
      <c r="B78" s="41" t="s">
        <v>165</v>
      </c>
      <c r="C78" s="35">
        <v>46294</v>
      </c>
      <c r="D78" s="36" t="s">
        <v>3</v>
      </c>
      <c r="E78" s="36" t="s">
        <v>136</v>
      </c>
      <c r="F78" s="41" t="s">
        <v>57</v>
      </c>
      <c r="G78" s="41" t="s">
        <v>315</v>
      </c>
      <c r="H78" s="37" t="s">
        <v>316</v>
      </c>
      <c r="I78" s="37" t="s">
        <v>317</v>
      </c>
      <c r="J78" s="38">
        <v>0.5</v>
      </c>
      <c r="K78" s="39">
        <v>0.5</v>
      </c>
      <c r="L78" s="40" t="s">
        <v>163</v>
      </c>
      <c r="M78" s="18" t="str">
        <f t="shared" si="2"/>
        <v/>
      </c>
    </row>
    <row r="79" spans="1:13" ht="43.05" customHeight="1" x14ac:dyDescent="0.3">
      <c r="A79" s="19">
        <v>58</v>
      </c>
      <c r="B79" s="19" t="s">
        <v>165</v>
      </c>
      <c r="C79" s="20">
        <v>46295</v>
      </c>
      <c r="D79" s="23" t="s">
        <v>3</v>
      </c>
      <c r="E79" s="23" t="s">
        <v>136</v>
      </c>
      <c r="F79" s="19" t="s">
        <v>57</v>
      </c>
      <c r="G79" s="19" t="s">
        <v>315</v>
      </c>
      <c r="H79" s="21" t="s">
        <v>316</v>
      </c>
      <c r="I79" s="21" t="s">
        <v>317</v>
      </c>
      <c r="J79" s="22">
        <v>2.75</v>
      </c>
      <c r="K79" s="24">
        <v>1.25</v>
      </c>
      <c r="L79" s="25" t="s">
        <v>163</v>
      </c>
      <c r="M79" s="18" t="str">
        <f t="shared" si="2"/>
        <v/>
      </c>
    </row>
    <row r="80" spans="1:13" ht="43.05" customHeight="1" x14ac:dyDescent="0.3">
      <c r="A80" s="19">
        <v>63</v>
      </c>
      <c r="B80" s="19" t="s">
        <v>165</v>
      </c>
      <c r="C80" s="20">
        <v>46295</v>
      </c>
      <c r="D80" s="23" t="s">
        <v>6</v>
      </c>
      <c r="E80" s="23" t="s">
        <v>138</v>
      </c>
      <c r="F80" s="19" t="s">
        <v>57</v>
      </c>
      <c r="G80" s="19" t="s">
        <v>318</v>
      </c>
      <c r="H80" s="21" t="s">
        <v>319</v>
      </c>
      <c r="I80" s="21" t="s">
        <v>317</v>
      </c>
      <c r="J80" s="22">
        <v>0.25</v>
      </c>
      <c r="K80" s="24">
        <v>0.25</v>
      </c>
      <c r="L80" s="25" t="s">
        <v>163</v>
      </c>
      <c r="M80" s="18" t="str">
        <f t="shared" si="2"/>
        <v/>
      </c>
    </row>
    <row r="81" spans="1:13" ht="43.05" customHeight="1" x14ac:dyDescent="0.3">
      <c r="A81" s="19">
        <v>68</v>
      </c>
      <c r="B81" s="19" t="s">
        <v>165</v>
      </c>
      <c r="C81" s="20">
        <v>46296</v>
      </c>
      <c r="D81" s="23" t="s">
        <v>3</v>
      </c>
      <c r="E81" s="23" t="s">
        <v>136</v>
      </c>
      <c r="F81" s="19" t="s">
        <v>57</v>
      </c>
      <c r="G81" s="19" t="s">
        <v>315</v>
      </c>
      <c r="H81" s="21" t="s">
        <v>316</v>
      </c>
      <c r="I81" s="21" t="s">
        <v>317</v>
      </c>
      <c r="J81" s="22">
        <v>2.75</v>
      </c>
      <c r="K81" s="24">
        <v>1.25</v>
      </c>
      <c r="L81" s="25" t="s">
        <v>163</v>
      </c>
      <c r="M81" s="18" t="str">
        <f t="shared" si="2"/>
        <v/>
      </c>
    </row>
    <row r="82" spans="1:13" ht="43.05" customHeight="1" x14ac:dyDescent="0.3">
      <c r="A82" s="19">
        <v>72</v>
      </c>
      <c r="B82" s="19" t="s">
        <v>165</v>
      </c>
      <c r="C82" s="20">
        <v>46296</v>
      </c>
      <c r="D82" s="23" t="s">
        <v>6</v>
      </c>
      <c r="E82" s="23" t="s">
        <v>138</v>
      </c>
      <c r="F82" s="19" t="s">
        <v>57</v>
      </c>
      <c r="G82" s="19" t="s">
        <v>318</v>
      </c>
      <c r="H82" s="21" t="s">
        <v>319</v>
      </c>
      <c r="I82" s="21" t="s">
        <v>317</v>
      </c>
      <c r="J82" s="22">
        <v>1.75</v>
      </c>
      <c r="K82" s="24">
        <v>0.5</v>
      </c>
      <c r="L82" s="25" t="s">
        <v>163</v>
      </c>
      <c r="M82" s="18" t="str">
        <f t="shared" si="2"/>
        <v/>
      </c>
    </row>
    <row r="83" spans="1:13" ht="43.05" customHeight="1" x14ac:dyDescent="0.3">
      <c r="A83" s="34">
        <v>73</v>
      </c>
      <c r="B83" s="41" t="s">
        <v>165</v>
      </c>
      <c r="C83" s="35">
        <v>46296</v>
      </c>
      <c r="D83" s="36" t="s">
        <v>6</v>
      </c>
      <c r="E83" s="36" t="s">
        <v>138</v>
      </c>
      <c r="F83" s="41" t="s">
        <v>61</v>
      </c>
      <c r="G83" s="41" t="s">
        <v>63</v>
      </c>
      <c r="H83" s="37" t="s">
        <v>320</v>
      </c>
      <c r="I83" s="37" t="s">
        <v>321</v>
      </c>
      <c r="J83" s="38">
        <v>1</v>
      </c>
      <c r="K83" s="39">
        <v>0.75</v>
      </c>
      <c r="L83" s="40" t="s">
        <v>163</v>
      </c>
      <c r="M83" s="18" t="str">
        <f t="shared" si="2"/>
        <v/>
      </c>
    </row>
    <row r="84" spans="1:13" ht="43.05" customHeight="1" x14ac:dyDescent="0.3">
      <c r="A84" s="19">
        <v>82</v>
      </c>
      <c r="B84" s="19" t="s">
        <v>165</v>
      </c>
      <c r="C84" s="20">
        <v>46300</v>
      </c>
      <c r="D84" s="23" t="s">
        <v>4</v>
      </c>
      <c r="E84" s="23" t="s">
        <v>137</v>
      </c>
      <c r="F84" s="19" t="s">
        <v>61</v>
      </c>
      <c r="G84" s="19" t="s">
        <v>63</v>
      </c>
      <c r="H84" s="21" t="s">
        <v>320</v>
      </c>
      <c r="I84" s="21" t="s">
        <v>321</v>
      </c>
      <c r="J84" s="22">
        <v>2.75</v>
      </c>
      <c r="K84" s="24">
        <v>0.25</v>
      </c>
      <c r="L84" s="25" t="s">
        <v>163</v>
      </c>
      <c r="M84" s="18" t="str">
        <f t="shared" si="2"/>
        <v/>
      </c>
    </row>
    <row r="85" spans="1:13" ht="43.05" customHeight="1" x14ac:dyDescent="0.3">
      <c r="A85" s="19">
        <v>92</v>
      </c>
      <c r="B85" s="19" t="s">
        <v>165</v>
      </c>
      <c r="C85" s="20">
        <v>46301</v>
      </c>
      <c r="D85" s="23" t="s">
        <v>4</v>
      </c>
      <c r="E85" s="23" t="s">
        <v>137</v>
      </c>
      <c r="F85" s="19" t="s">
        <v>61</v>
      </c>
      <c r="G85" s="19" t="s">
        <v>63</v>
      </c>
      <c r="H85" s="21" t="s">
        <v>320</v>
      </c>
      <c r="I85" s="21" t="s">
        <v>321</v>
      </c>
      <c r="J85" s="22">
        <v>0.25</v>
      </c>
      <c r="K85" s="24">
        <v>0.25</v>
      </c>
      <c r="L85" s="25" t="s">
        <v>163</v>
      </c>
      <c r="M85" s="18" t="str">
        <f t="shared" si="2"/>
        <v/>
      </c>
    </row>
    <row r="86" spans="1:13" ht="43.05" customHeight="1" x14ac:dyDescent="0.3">
      <c r="A86" s="34">
        <v>80</v>
      </c>
      <c r="B86" s="41" t="s">
        <v>165</v>
      </c>
      <c r="C86" s="35">
        <v>46300</v>
      </c>
      <c r="D86" s="36" t="s">
        <v>3</v>
      </c>
      <c r="E86" s="36" t="s">
        <v>136</v>
      </c>
      <c r="F86" s="41" t="s">
        <v>65</v>
      </c>
      <c r="G86" s="41" t="s">
        <v>322</v>
      </c>
      <c r="H86" s="37" t="s">
        <v>323</v>
      </c>
      <c r="I86" s="37" t="s">
        <v>324</v>
      </c>
      <c r="J86" s="38">
        <v>2.75</v>
      </c>
      <c r="K86" s="39">
        <v>0.25</v>
      </c>
      <c r="L86" s="40" t="s">
        <v>163</v>
      </c>
      <c r="M86" s="18" t="str">
        <f t="shared" si="2"/>
        <v/>
      </c>
    </row>
    <row r="87" spans="1:13" ht="43.05" customHeight="1" x14ac:dyDescent="0.3">
      <c r="A87" s="19">
        <v>84</v>
      </c>
      <c r="B87" s="19" t="s">
        <v>165</v>
      </c>
      <c r="C87" s="20">
        <v>46300</v>
      </c>
      <c r="D87" s="23" t="s">
        <v>6</v>
      </c>
      <c r="E87" s="23" t="s">
        <v>138</v>
      </c>
      <c r="F87" s="19" t="s">
        <v>65</v>
      </c>
      <c r="G87" s="19" t="s">
        <v>325</v>
      </c>
      <c r="H87" s="21" t="s">
        <v>326</v>
      </c>
      <c r="I87" s="21" t="s">
        <v>327</v>
      </c>
      <c r="J87" s="22">
        <v>2</v>
      </c>
      <c r="K87" s="24">
        <v>0.75</v>
      </c>
      <c r="L87" s="25" t="s">
        <v>163</v>
      </c>
      <c r="M87" s="18" t="str">
        <f t="shared" si="2"/>
        <v/>
      </c>
    </row>
    <row r="88" spans="1:13" ht="43.05" customHeight="1" x14ac:dyDescent="0.3">
      <c r="A88" s="19">
        <v>91</v>
      </c>
      <c r="B88" s="19" t="s">
        <v>165</v>
      </c>
      <c r="C88" s="20">
        <v>46301</v>
      </c>
      <c r="D88" s="23" t="s">
        <v>3</v>
      </c>
      <c r="E88" s="23" t="s">
        <v>136</v>
      </c>
      <c r="F88" s="19" t="s">
        <v>65</v>
      </c>
      <c r="G88" s="19" t="s">
        <v>322</v>
      </c>
      <c r="H88" s="21" t="s">
        <v>323</v>
      </c>
      <c r="I88" s="21" t="s">
        <v>324</v>
      </c>
      <c r="J88" s="22">
        <v>0.75</v>
      </c>
      <c r="K88" s="24">
        <v>0.75</v>
      </c>
      <c r="L88" s="25" t="s">
        <v>32</v>
      </c>
      <c r="M88" s="18" t="str">
        <f t="shared" si="2"/>
        <v/>
      </c>
    </row>
    <row r="89" spans="1:13" ht="43.05" customHeight="1" x14ac:dyDescent="0.3">
      <c r="A89" s="19">
        <v>93</v>
      </c>
      <c r="B89" s="19" t="s">
        <v>165</v>
      </c>
      <c r="C89" s="20">
        <v>46301</v>
      </c>
      <c r="D89" s="23" t="s">
        <v>4</v>
      </c>
      <c r="E89" s="23" t="s">
        <v>137</v>
      </c>
      <c r="F89" s="19" t="s">
        <v>65</v>
      </c>
      <c r="G89" s="19" t="s">
        <v>325</v>
      </c>
      <c r="H89" s="21" t="s">
        <v>326</v>
      </c>
      <c r="I89" s="21" t="s">
        <v>327</v>
      </c>
      <c r="J89" s="22">
        <v>0.5</v>
      </c>
      <c r="K89" s="24">
        <v>0.5</v>
      </c>
      <c r="L89" s="25" t="s">
        <v>163</v>
      </c>
      <c r="M89" s="18" t="str">
        <f t="shared" si="2"/>
        <v/>
      </c>
    </row>
    <row r="90" spans="1:13" ht="43.05" customHeight="1" x14ac:dyDescent="0.3">
      <c r="A90" s="34">
        <v>267</v>
      </c>
      <c r="B90" s="41" t="s">
        <v>165</v>
      </c>
      <c r="C90" s="35">
        <v>46297</v>
      </c>
      <c r="D90" s="43" t="s">
        <v>288</v>
      </c>
      <c r="E90" s="43" t="s">
        <v>328</v>
      </c>
      <c r="F90" s="41" t="s">
        <v>69</v>
      </c>
      <c r="G90" s="41" t="s">
        <v>329</v>
      </c>
      <c r="H90" s="37" t="s">
        <v>330</v>
      </c>
      <c r="I90" s="37" t="s">
        <v>331</v>
      </c>
      <c r="J90" s="38">
        <v>0</v>
      </c>
      <c r="K90" s="39">
        <v>3</v>
      </c>
      <c r="L90" s="40" t="s">
        <v>163</v>
      </c>
      <c r="M90" s="18" t="str">
        <f t="shared" si="2"/>
        <v/>
      </c>
    </row>
    <row r="91" spans="1:13" ht="43.05" customHeight="1" x14ac:dyDescent="0.3">
      <c r="A91" s="19">
        <v>88</v>
      </c>
      <c r="B91" s="19" t="s">
        <v>165</v>
      </c>
      <c r="C91" s="20">
        <v>46303</v>
      </c>
      <c r="D91" s="42" t="s">
        <v>288</v>
      </c>
      <c r="E91" s="42" t="s">
        <v>289</v>
      </c>
      <c r="F91" s="19" t="s">
        <v>69</v>
      </c>
      <c r="G91" s="19" t="s">
        <v>329</v>
      </c>
      <c r="H91" s="21" t="s">
        <v>332</v>
      </c>
      <c r="I91" s="21" t="s">
        <v>333</v>
      </c>
      <c r="J91" s="22">
        <v>4</v>
      </c>
      <c r="K91" s="24">
        <v>4</v>
      </c>
      <c r="L91" s="25" t="s">
        <v>163</v>
      </c>
      <c r="M91" s="18" t="str">
        <f t="shared" si="1"/>
        <v/>
      </c>
    </row>
    <row r="92" spans="1:13" ht="30" customHeight="1" x14ac:dyDescent="0.3">
      <c r="A92" s="34">
        <v>77</v>
      </c>
      <c r="B92" s="41" t="s">
        <v>165</v>
      </c>
      <c r="C92" s="35">
        <v>46300</v>
      </c>
      <c r="D92" s="36" t="s">
        <v>5</v>
      </c>
      <c r="E92" s="36" t="s">
        <v>134</v>
      </c>
      <c r="F92" s="41" t="s">
        <v>73</v>
      </c>
      <c r="G92" s="41" t="s">
        <v>334</v>
      </c>
      <c r="H92" s="37" t="s">
        <v>335</v>
      </c>
      <c r="I92" s="37" t="s">
        <v>336</v>
      </c>
      <c r="J92" s="38">
        <v>2.5</v>
      </c>
      <c r="K92" s="39">
        <v>2.5</v>
      </c>
      <c r="L92" s="40" t="s">
        <v>163</v>
      </c>
      <c r="M92" s="18" t="str">
        <f t="shared" si="1"/>
        <v/>
      </c>
    </row>
    <row r="93" spans="1:13" ht="30" customHeight="1" x14ac:dyDescent="0.3">
      <c r="A93" s="19">
        <v>85</v>
      </c>
      <c r="B93" s="19" t="s">
        <v>165</v>
      </c>
      <c r="C93" s="20">
        <v>46300</v>
      </c>
      <c r="D93" s="23" t="s">
        <v>6</v>
      </c>
      <c r="E93" s="23" t="s">
        <v>138</v>
      </c>
      <c r="F93" s="19" t="s">
        <v>73</v>
      </c>
      <c r="G93" s="19" t="s">
        <v>334</v>
      </c>
      <c r="H93" s="21" t="s">
        <v>335</v>
      </c>
      <c r="I93" s="21" t="s">
        <v>336</v>
      </c>
      <c r="J93" s="22">
        <v>0.75</v>
      </c>
      <c r="K93" s="24">
        <v>0.75</v>
      </c>
      <c r="L93" s="25" t="s">
        <v>163</v>
      </c>
      <c r="M93" s="18" t="str">
        <f t="shared" si="1"/>
        <v/>
      </c>
    </row>
    <row r="94" spans="1:13" ht="30" customHeight="1" x14ac:dyDescent="0.3">
      <c r="A94" s="19">
        <v>94</v>
      </c>
      <c r="B94" s="19" t="s">
        <v>165</v>
      </c>
      <c r="C94" s="20">
        <v>46301</v>
      </c>
      <c r="D94" s="23" t="s">
        <v>6</v>
      </c>
      <c r="E94" s="23" t="s">
        <v>138</v>
      </c>
      <c r="F94" s="19" t="s">
        <v>73</v>
      </c>
      <c r="G94" s="19" t="s">
        <v>334</v>
      </c>
      <c r="H94" s="21" t="s">
        <v>335</v>
      </c>
      <c r="I94" s="21" t="s">
        <v>336</v>
      </c>
      <c r="J94" s="22">
        <v>0.75</v>
      </c>
      <c r="K94" s="24">
        <v>0.75</v>
      </c>
      <c r="L94" s="47" t="s">
        <v>163</v>
      </c>
      <c r="M94" s="18" t="str">
        <f t="shared" si="1"/>
        <v/>
      </c>
    </row>
    <row r="95" spans="1:13" ht="43.05" customHeight="1" x14ac:dyDescent="0.3">
      <c r="A95" s="34">
        <v>2</v>
      </c>
      <c r="B95" s="41" t="s">
        <v>165</v>
      </c>
      <c r="C95" s="35">
        <v>46286</v>
      </c>
      <c r="D95" s="43" t="s">
        <v>288</v>
      </c>
      <c r="E95" s="43" t="s">
        <v>289</v>
      </c>
      <c r="F95" s="41" t="s">
        <v>81</v>
      </c>
      <c r="G95" s="41" t="s">
        <v>337</v>
      </c>
      <c r="H95" s="37" t="s">
        <v>338</v>
      </c>
      <c r="I95" s="37" t="s">
        <v>339</v>
      </c>
      <c r="J95" s="38">
        <v>1</v>
      </c>
      <c r="K95" s="39">
        <v>1</v>
      </c>
      <c r="L95" s="40" t="s">
        <v>163</v>
      </c>
      <c r="M95" s="18" t="str">
        <f t="shared" si="1"/>
        <v/>
      </c>
    </row>
    <row r="96" spans="1:13" ht="30" customHeight="1" x14ac:dyDescent="0.3">
      <c r="A96" s="19">
        <v>1</v>
      </c>
      <c r="B96" s="19" t="s">
        <v>165</v>
      </c>
      <c r="C96" s="20">
        <v>46286</v>
      </c>
      <c r="D96" s="42" t="s">
        <v>288</v>
      </c>
      <c r="E96" s="42" t="s">
        <v>289</v>
      </c>
      <c r="F96" s="19" t="s">
        <v>81</v>
      </c>
      <c r="G96" s="19" t="s">
        <v>340</v>
      </c>
      <c r="H96" s="21" t="s">
        <v>341</v>
      </c>
      <c r="I96" s="21" t="s">
        <v>342</v>
      </c>
      <c r="J96" s="22">
        <v>4</v>
      </c>
      <c r="K96" s="24">
        <v>4</v>
      </c>
      <c r="L96" s="25" t="s">
        <v>163</v>
      </c>
      <c r="M96" s="18" t="str">
        <f t="shared" si="1"/>
        <v/>
      </c>
    </row>
    <row r="97" spans="1:13" ht="43.05" customHeight="1" x14ac:dyDescent="0.3">
      <c r="A97" s="19">
        <v>7</v>
      </c>
      <c r="B97" s="19" t="s">
        <v>165</v>
      </c>
      <c r="C97" s="20">
        <v>46287</v>
      </c>
      <c r="D97" s="42" t="s">
        <v>288</v>
      </c>
      <c r="E97" s="42" t="s">
        <v>289</v>
      </c>
      <c r="F97" s="19" t="s">
        <v>81</v>
      </c>
      <c r="G97" s="19" t="s">
        <v>337</v>
      </c>
      <c r="H97" s="21" t="s">
        <v>338</v>
      </c>
      <c r="I97" s="21" t="s">
        <v>339</v>
      </c>
      <c r="J97" s="22">
        <v>1</v>
      </c>
      <c r="K97" s="24">
        <v>1</v>
      </c>
      <c r="L97" s="25" t="s">
        <v>163</v>
      </c>
      <c r="M97" s="18" t="str">
        <f t="shared" si="1"/>
        <v/>
      </c>
    </row>
    <row r="98" spans="1:13" ht="43.05" customHeight="1" x14ac:dyDescent="0.3">
      <c r="A98" s="19">
        <v>15</v>
      </c>
      <c r="B98" s="19" t="s">
        <v>165</v>
      </c>
      <c r="C98" s="20">
        <v>46288</v>
      </c>
      <c r="D98" s="42" t="s">
        <v>288</v>
      </c>
      <c r="E98" s="42" t="s">
        <v>289</v>
      </c>
      <c r="F98" s="19" t="s">
        <v>81</v>
      </c>
      <c r="G98" s="19" t="s">
        <v>337</v>
      </c>
      <c r="H98" s="21" t="s">
        <v>338</v>
      </c>
      <c r="I98" s="21" t="s">
        <v>339</v>
      </c>
      <c r="J98" s="22">
        <v>1</v>
      </c>
      <c r="K98" s="24">
        <v>1</v>
      </c>
      <c r="L98" s="25" t="s">
        <v>163</v>
      </c>
      <c r="M98" s="18" t="str">
        <f t="shared" si="1"/>
        <v/>
      </c>
    </row>
    <row r="99" spans="1:13" ht="43.05" customHeight="1" x14ac:dyDescent="0.3">
      <c r="A99" s="19">
        <v>25</v>
      </c>
      <c r="B99" s="19" t="s">
        <v>165</v>
      </c>
      <c r="C99" s="20">
        <v>46289</v>
      </c>
      <c r="D99" s="42" t="s">
        <v>288</v>
      </c>
      <c r="E99" s="42" t="s">
        <v>289</v>
      </c>
      <c r="F99" s="19" t="s">
        <v>81</v>
      </c>
      <c r="G99" s="19" t="s">
        <v>337</v>
      </c>
      <c r="H99" s="21" t="s">
        <v>338</v>
      </c>
      <c r="I99" s="21" t="s">
        <v>339</v>
      </c>
      <c r="J99" s="22">
        <v>1</v>
      </c>
      <c r="K99" s="24">
        <v>1</v>
      </c>
      <c r="L99" s="25" t="s">
        <v>163</v>
      </c>
      <c r="M99" s="18" t="str">
        <f t="shared" si="1"/>
        <v/>
      </c>
    </row>
    <row r="100" spans="1:13" ht="43.05" customHeight="1" x14ac:dyDescent="0.3">
      <c r="A100" s="19">
        <v>264</v>
      </c>
      <c r="B100" s="19" t="s">
        <v>165</v>
      </c>
      <c r="C100" s="20">
        <v>46290</v>
      </c>
      <c r="D100" s="42" t="s">
        <v>288</v>
      </c>
      <c r="E100" s="42" t="s">
        <v>328</v>
      </c>
      <c r="F100" s="19" t="s">
        <v>81</v>
      </c>
      <c r="G100" s="19" t="s">
        <v>337</v>
      </c>
      <c r="H100" s="21" t="s">
        <v>343</v>
      </c>
      <c r="I100" s="21" t="s">
        <v>344</v>
      </c>
      <c r="J100" s="22">
        <v>0</v>
      </c>
      <c r="K100" s="24">
        <v>1</v>
      </c>
      <c r="L100" s="25" t="s">
        <v>163</v>
      </c>
      <c r="M100" s="18" t="str">
        <f>IF(AND(C100&lt;=FechaCorte,NOT(ISNUMBER(K100))),"Por confirmar","")</f>
        <v/>
      </c>
    </row>
    <row r="101" spans="1:13" ht="43.05" customHeight="1" x14ac:dyDescent="0.3">
      <c r="A101" s="19">
        <v>33</v>
      </c>
      <c r="B101" s="19" t="s">
        <v>165</v>
      </c>
      <c r="C101" s="20">
        <v>46293</v>
      </c>
      <c r="D101" s="42" t="s">
        <v>288</v>
      </c>
      <c r="E101" s="42" t="s">
        <v>289</v>
      </c>
      <c r="F101" s="19" t="s">
        <v>81</v>
      </c>
      <c r="G101" s="19" t="s">
        <v>337</v>
      </c>
      <c r="H101" s="21" t="s">
        <v>338</v>
      </c>
      <c r="I101" s="21" t="s">
        <v>339</v>
      </c>
      <c r="J101" s="22">
        <v>1</v>
      </c>
      <c r="K101" s="24">
        <v>1</v>
      </c>
      <c r="L101" s="25" t="s">
        <v>163</v>
      </c>
      <c r="M101" s="18" t="str">
        <f t="shared" si="1"/>
        <v/>
      </c>
    </row>
    <row r="102" spans="1:13" ht="30" customHeight="1" x14ac:dyDescent="0.3">
      <c r="A102" s="19">
        <v>34</v>
      </c>
      <c r="B102" s="19" t="s">
        <v>165</v>
      </c>
      <c r="C102" s="20">
        <v>46293</v>
      </c>
      <c r="D102" s="23" t="s">
        <v>5</v>
      </c>
      <c r="E102" s="23" t="s">
        <v>134</v>
      </c>
      <c r="F102" s="19" t="s">
        <v>81</v>
      </c>
      <c r="G102" s="19" t="s">
        <v>345</v>
      </c>
      <c r="H102" s="21" t="s">
        <v>346</v>
      </c>
      <c r="I102" s="21" t="s">
        <v>347</v>
      </c>
      <c r="J102" s="22">
        <v>1</v>
      </c>
      <c r="K102" s="24">
        <v>1</v>
      </c>
      <c r="L102" s="25" t="s">
        <v>163</v>
      </c>
      <c r="M102" s="18" t="str">
        <f t="shared" si="1"/>
        <v/>
      </c>
    </row>
    <row r="103" spans="1:13" ht="43.05" customHeight="1" x14ac:dyDescent="0.3">
      <c r="A103" s="19">
        <v>44</v>
      </c>
      <c r="B103" s="19" t="s">
        <v>165</v>
      </c>
      <c r="C103" s="20">
        <v>46294</v>
      </c>
      <c r="D103" s="42" t="s">
        <v>288</v>
      </c>
      <c r="E103" s="42" t="s">
        <v>289</v>
      </c>
      <c r="F103" s="19" t="s">
        <v>81</v>
      </c>
      <c r="G103" s="19" t="s">
        <v>337</v>
      </c>
      <c r="H103" s="21" t="s">
        <v>338</v>
      </c>
      <c r="I103" s="21" t="s">
        <v>339</v>
      </c>
      <c r="J103" s="22">
        <v>1</v>
      </c>
      <c r="K103" s="24">
        <v>1</v>
      </c>
      <c r="L103" s="25" t="s">
        <v>163</v>
      </c>
      <c r="M103" s="18" t="str">
        <f t="shared" si="1"/>
        <v/>
      </c>
    </row>
    <row r="104" spans="1:13" ht="43.05" customHeight="1" x14ac:dyDescent="0.3">
      <c r="A104" s="19">
        <v>55</v>
      </c>
      <c r="B104" s="19" t="s">
        <v>165</v>
      </c>
      <c r="C104" s="20">
        <v>46295</v>
      </c>
      <c r="D104" s="42" t="s">
        <v>288</v>
      </c>
      <c r="E104" s="42" t="s">
        <v>289</v>
      </c>
      <c r="F104" s="19" t="s">
        <v>81</v>
      </c>
      <c r="G104" s="19" t="s">
        <v>337</v>
      </c>
      <c r="H104" s="21" t="s">
        <v>338</v>
      </c>
      <c r="I104" s="21" t="s">
        <v>339</v>
      </c>
      <c r="J104" s="22">
        <v>1</v>
      </c>
      <c r="K104" s="24">
        <v>1</v>
      </c>
      <c r="L104" s="25" t="s">
        <v>163</v>
      </c>
      <c r="M104" s="18" t="str">
        <f t="shared" si="1"/>
        <v/>
      </c>
    </row>
    <row r="105" spans="1:13" ht="43.05" customHeight="1" x14ac:dyDescent="0.3">
      <c r="A105" s="19">
        <v>65</v>
      </c>
      <c r="B105" s="19" t="s">
        <v>165</v>
      </c>
      <c r="C105" s="20">
        <v>46296</v>
      </c>
      <c r="D105" s="42" t="s">
        <v>288</v>
      </c>
      <c r="E105" s="42" t="s">
        <v>289</v>
      </c>
      <c r="F105" s="19" t="s">
        <v>81</v>
      </c>
      <c r="G105" s="19" t="s">
        <v>337</v>
      </c>
      <c r="H105" s="21" t="s">
        <v>338</v>
      </c>
      <c r="I105" s="21" t="s">
        <v>339</v>
      </c>
      <c r="J105" s="22">
        <v>1</v>
      </c>
      <c r="K105" s="24">
        <v>1</v>
      </c>
      <c r="L105" s="25" t="s">
        <v>163</v>
      </c>
      <c r="M105" s="18" t="str">
        <f t="shared" si="1"/>
        <v/>
      </c>
    </row>
    <row r="106" spans="1:13" ht="43.05" customHeight="1" x14ac:dyDescent="0.3">
      <c r="A106" s="19">
        <v>265</v>
      </c>
      <c r="B106" s="19" t="s">
        <v>165</v>
      </c>
      <c r="C106" s="20">
        <v>46297</v>
      </c>
      <c r="D106" s="42" t="s">
        <v>288</v>
      </c>
      <c r="E106" s="42" t="s">
        <v>328</v>
      </c>
      <c r="F106" s="19" t="s">
        <v>81</v>
      </c>
      <c r="G106" s="19" t="s">
        <v>337</v>
      </c>
      <c r="H106" s="21" t="s">
        <v>348</v>
      </c>
      <c r="I106" s="21" t="s">
        <v>344</v>
      </c>
      <c r="J106" s="22">
        <v>0</v>
      </c>
      <c r="K106" s="24">
        <v>1</v>
      </c>
      <c r="L106" s="25" t="s">
        <v>163</v>
      </c>
      <c r="M106" s="18" t="str">
        <f>IF(AND(C106&lt;=FechaCorte,NOT(ISNUMBER(K106))),"Por confirmar","")</f>
        <v/>
      </c>
    </row>
    <row r="107" spans="1:13" ht="43.05" customHeight="1" x14ac:dyDescent="0.3">
      <c r="A107" s="19">
        <v>89</v>
      </c>
      <c r="B107" s="19" t="s">
        <v>165</v>
      </c>
      <c r="C107" s="20">
        <v>46297</v>
      </c>
      <c r="D107" s="42" t="s">
        <v>288</v>
      </c>
      <c r="E107" s="42" t="s">
        <v>289</v>
      </c>
      <c r="F107" s="19" t="s">
        <v>81</v>
      </c>
      <c r="G107" s="19" t="s">
        <v>349</v>
      </c>
      <c r="H107" s="21" t="s">
        <v>350</v>
      </c>
      <c r="I107" s="21" t="s">
        <v>351</v>
      </c>
      <c r="J107" s="22">
        <v>4</v>
      </c>
      <c r="K107" s="24">
        <v>3.5</v>
      </c>
      <c r="L107" s="25" t="s">
        <v>163</v>
      </c>
      <c r="M107" s="18" t="str">
        <f t="shared" si="1"/>
        <v/>
      </c>
    </row>
    <row r="108" spans="1:13" ht="43.05" customHeight="1" x14ac:dyDescent="0.3">
      <c r="A108" s="19">
        <v>76</v>
      </c>
      <c r="B108" s="19" t="s">
        <v>165</v>
      </c>
      <c r="C108" s="20">
        <v>46300</v>
      </c>
      <c r="D108" s="42" t="s">
        <v>288</v>
      </c>
      <c r="E108" s="42" t="s">
        <v>289</v>
      </c>
      <c r="F108" s="19" t="s">
        <v>81</v>
      </c>
      <c r="G108" s="19" t="s">
        <v>337</v>
      </c>
      <c r="H108" s="21" t="s">
        <v>338</v>
      </c>
      <c r="I108" s="21" t="s">
        <v>339</v>
      </c>
      <c r="J108" s="22">
        <v>1</v>
      </c>
      <c r="K108" s="24">
        <v>1</v>
      </c>
      <c r="L108" s="25" t="s">
        <v>163</v>
      </c>
      <c r="M108" s="18" t="str">
        <f t="shared" si="1"/>
        <v/>
      </c>
    </row>
    <row r="109" spans="1:13" ht="30" customHeight="1" x14ac:dyDescent="0.3">
      <c r="A109" s="19">
        <v>78</v>
      </c>
      <c r="B109" s="19" t="s">
        <v>165</v>
      </c>
      <c r="C109" s="20">
        <v>46300</v>
      </c>
      <c r="D109" s="23" t="s">
        <v>5</v>
      </c>
      <c r="E109" s="23" t="s">
        <v>134</v>
      </c>
      <c r="F109" s="19" t="s">
        <v>81</v>
      </c>
      <c r="G109" s="19" t="s">
        <v>345</v>
      </c>
      <c r="H109" s="21" t="s">
        <v>346</v>
      </c>
      <c r="I109" s="21" t="s">
        <v>347</v>
      </c>
      <c r="J109" s="22">
        <v>0.25</v>
      </c>
      <c r="K109" s="24">
        <v>0.25</v>
      </c>
      <c r="L109" s="25" t="s">
        <v>163</v>
      </c>
      <c r="M109" s="18" t="str">
        <f t="shared" si="1"/>
        <v/>
      </c>
    </row>
    <row r="110" spans="1:13" ht="43.05" customHeight="1" x14ac:dyDescent="0.3">
      <c r="A110" s="19">
        <v>95</v>
      </c>
      <c r="B110" s="19" t="s">
        <v>165</v>
      </c>
      <c r="C110" s="20">
        <v>46300</v>
      </c>
      <c r="D110" s="42" t="s">
        <v>288</v>
      </c>
      <c r="E110" s="42" t="s">
        <v>289</v>
      </c>
      <c r="F110" s="19" t="s">
        <v>81</v>
      </c>
      <c r="G110" s="19" t="s">
        <v>340</v>
      </c>
      <c r="H110" s="21" t="s">
        <v>352</v>
      </c>
      <c r="I110" s="21" t="s">
        <v>342</v>
      </c>
      <c r="J110" s="22">
        <v>4</v>
      </c>
      <c r="K110" s="24">
        <v>4</v>
      </c>
      <c r="L110" s="25" t="s">
        <v>163</v>
      </c>
      <c r="M110" s="18" t="str">
        <f t="shared" si="1"/>
        <v/>
      </c>
    </row>
    <row r="111" spans="1:13" ht="43.05" customHeight="1" x14ac:dyDescent="0.3">
      <c r="A111" s="19">
        <v>87</v>
      </c>
      <c r="B111" s="19" t="s">
        <v>165</v>
      </c>
      <c r="C111" s="20">
        <v>46301</v>
      </c>
      <c r="D111" s="42" t="s">
        <v>288</v>
      </c>
      <c r="E111" s="42" t="s">
        <v>289</v>
      </c>
      <c r="F111" s="19" t="s">
        <v>81</v>
      </c>
      <c r="G111" s="19" t="s">
        <v>337</v>
      </c>
      <c r="H111" s="21" t="s">
        <v>338</v>
      </c>
      <c r="I111" s="21" t="s">
        <v>339</v>
      </c>
      <c r="J111" s="22">
        <v>1</v>
      </c>
      <c r="K111" s="24">
        <v>1</v>
      </c>
      <c r="L111" s="25" t="s">
        <v>163</v>
      </c>
      <c r="M111" s="18" t="str">
        <f t="shared" si="1"/>
        <v/>
      </c>
    </row>
    <row r="112" spans="1:13" ht="30" customHeight="1" x14ac:dyDescent="0.3">
      <c r="A112" s="19">
        <v>90</v>
      </c>
      <c r="B112" s="19" t="s">
        <v>165</v>
      </c>
      <c r="C112" s="20">
        <v>46301</v>
      </c>
      <c r="D112" s="23" t="s">
        <v>5</v>
      </c>
      <c r="E112" s="23" t="s">
        <v>134</v>
      </c>
      <c r="F112" s="19" t="s">
        <v>81</v>
      </c>
      <c r="G112" s="19" t="s">
        <v>345</v>
      </c>
      <c r="H112" s="21" t="s">
        <v>346</v>
      </c>
      <c r="I112" s="21" t="s">
        <v>347</v>
      </c>
      <c r="J112" s="22">
        <v>0.75</v>
      </c>
      <c r="K112" s="24">
        <v>0.75</v>
      </c>
      <c r="L112" s="25" t="s">
        <v>163</v>
      </c>
      <c r="M112" s="18" t="str">
        <f t="shared" si="1"/>
        <v/>
      </c>
    </row>
    <row r="113" spans="1:13" ht="43.05" customHeight="1" x14ac:dyDescent="0.3">
      <c r="A113" s="19">
        <v>96</v>
      </c>
      <c r="B113" s="19" t="s">
        <v>165</v>
      </c>
      <c r="C113" s="20">
        <v>46302</v>
      </c>
      <c r="D113" s="42" t="s">
        <v>288</v>
      </c>
      <c r="E113" s="42" t="s">
        <v>289</v>
      </c>
      <c r="F113" s="19" t="s">
        <v>81</v>
      </c>
      <c r="G113" s="19" t="s">
        <v>337</v>
      </c>
      <c r="H113" s="21" t="s">
        <v>338</v>
      </c>
      <c r="I113" s="21" t="s">
        <v>339</v>
      </c>
      <c r="J113" s="22">
        <v>1</v>
      </c>
      <c r="K113" s="24">
        <v>1</v>
      </c>
      <c r="L113" s="25" t="s">
        <v>163</v>
      </c>
      <c r="M113" s="18" t="str">
        <f t="shared" si="1"/>
        <v/>
      </c>
    </row>
    <row r="114" spans="1:13" ht="43.05" customHeight="1" x14ac:dyDescent="0.3">
      <c r="A114" s="19">
        <v>102</v>
      </c>
      <c r="B114" s="19" t="s">
        <v>165</v>
      </c>
      <c r="C114" s="20">
        <v>46303</v>
      </c>
      <c r="D114" s="42" t="s">
        <v>288</v>
      </c>
      <c r="E114" s="42" t="s">
        <v>289</v>
      </c>
      <c r="F114" s="19" t="s">
        <v>81</v>
      </c>
      <c r="G114" s="19" t="s">
        <v>337</v>
      </c>
      <c r="H114" s="21" t="s">
        <v>338</v>
      </c>
      <c r="I114" s="21" t="s">
        <v>339</v>
      </c>
      <c r="J114" s="22">
        <v>1</v>
      </c>
      <c r="K114" s="24">
        <v>1</v>
      </c>
      <c r="L114" s="25" t="s">
        <v>163</v>
      </c>
      <c r="M114" s="18" t="str">
        <f t="shared" si="1"/>
        <v/>
      </c>
    </row>
    <row r="115" spans="1:13" ht="30" customHeight="1" x14ac:dyDescent="0.3">
      <c r="A115" s="26">
        <v>269</v>
      </c>
      <c r="B115" s="33" t="s">
        <v>165</v>
      </c>
      <c r="C115" s="27">
        <v>46303</v>
      </c>
      <c r="D115" s="44" t="s">
        <v>288</v>
      </c>
      <c r="E115" s="44" t="s">
        <v>328</v>
      </c>
      <c r="F115" s="33" t="s">
        <v>38</v>
      </c>
      <c r="G115" s="33" t="s">
        <v>40</v>
      </c>
      <c r="H115" s="48" t="s">
        <v>353</v>
      </c>
      <c r="I115" s="48" t="s">
        <v>354</v>
      </c>
      <c r="J115" s="30">
        <v>0</v>
      </c>
      <c r="K115" s="31">
        <v>0</v>
      </c>
      <c r="L115" s="32" t="s">
        <v>163</v>
      </c>
      <c r="M115" s="18" t="str">
        <f>IF(AND(C115&lt;=FechaCorte,NOT(ISNUMBER(K115))),"Por confirmar","")</f>
        <v/>
      </c>
    </row>
    <row r="116" spans="1:13" ht="43.05" customHeight="1" x14ac:dyDescent="0.3">
      <c r="A116" s="34">
        <v>112</v>
      </c>
      <c r="B116" s="41" t="s">
        <v>167</v>
      </c>
      <c r="C116" s="35">
        <v>46309</v>
      </c>
      <c r="D116" s="36" t="s">
        <v>5</v>
      </c>
      <c r="E116" s="36" t="s">
        <v>134</v>
      </c>
      <c r="F116" s="41" t="s">
        <v>42</v>
      </c>
      <c r="G116" s="41" t="s">
        <v>297</v>
      </c>
      <c r="H116" s="49" t="s">
        <v>355</v>
      </c>
      <c r="I116" s="37" t="s">
        <v>301</v>
      </c>
      <c r="J116" s="38">
        <v>2.5</v>
      </c>
      <c r="K116" s="39"/>
      <c r="L116" s="40" t="s">
        <v>76</v>
      </c>
      <c r="M116" s="18" t="str">
        <f t="shared" si="1"/>
        <v/>
      </c>
    </row>
    <row r="117" spans="1:13" ht="30" customHeight="1" x14ac:dyDescent="0.3">
      <c r="A117" s="34">
        <v>268</v>
      </c>
      <c r="B117" s="41" t="s">
        <v>165</v>
      </c>
      <c r="C117" s="35">
        <v>46303</v>
      </c>
      <c r="D117" s="43" t="s">
        <v>288</v>
      </c>
      <c r="E117" s="43" t="s">
        <v>328</v>
      </c>
      <c r="F117" s="41" t="s">
        <v>46</v>
      </c>
      <c r="G117" s="41" t="s">
        <v>48</v>
      </c>
      <c r="H117" s="49" t="s">
        <v>356</v>
      </c>
      <c r="I117" s="49" t="s">
        <v>357</v>
      </c>
      <c r="J117" s="38">
        <v>0</v>
      </c>
      <c r="K117" s="39">
        <v>0</v>
      </c>
      <c r="L117" s="40" t="inlineStr">
        <is>
          <t xml:space="preserve">Completado</t>
        </is>
      </c>
      <c r="M117" s="18" t="str">
        <f>IF(AND(C117&lt;=FechaCorte,NOT(ISNUMBER(K117))),"Por confirmar","")</f>
        <v/>
      </c>
    </row>
    <row r="118" spans="1:13" ht="30" customHeight="1" x14ac:dyDescent="0.3">
      <c r="A118" s="19">
        <v>118</v>
      </c>
      <c r="B118" s="19" t="s">
        <v>167</v>
      </c>
      <c r="C118" s="20">
        <v>46307</v>
      </c>
      <c r="D118" s="23" t="s">
        <v>6</v>
      </c>
      <c r="E118" s="23" t="s">
        <v>138</v>
      </c>
      <c r="F118" s="19" t="s">
        <v>46</v>
      </c>
      <c r="G118" s="19" t="s">
        <v>48</v>
      </c>
      <c r="H118" s="21" t="s">
        <v>305</v>
      </c>
      <c r="I118" s="21" t="s">
        <v>306</v>
      </c>
      <c r="J118" s="22">
        <v>1</v>
      </c>
      <c r="K118" s="24"/>
      <c r="L118" s="25" t="s">
        <v>76</v>
      </c>
      <c r="M118" s="18" t="str">
        <f t="shared" si="1"/>
        <v/>
      </c>
    </row>
    <row r="119" spans="1:13" ht="30" customHeight="1" x14ac:dyDescent="0.3">
      <c r="A119" s="19">
        <v>116</v>
      </c>
      <c r="B119" s="19" t="s">
        <v>167</v>
      </c>
      <c r="C119" s="20">
        <v>46307</v>
      </c>
      <c r="D119" s="23" t="s">
        <v>4</v>
      </c>
      <c r="E119" s="23" t="s">
        <v>137</v>
      </c>
      <c r="F119" s="19" t="s">
        <v>46</v>
      </c>
      <c r="G119" s="19" t="s">
        <v>48</v>
      </c>
      <c r="H119" s="21" t="s">
        <v>305</v>
      </c>
      <c r="I119" s="21" t="s">
        <v>306</v>
      </c>
      <c r="J119" s="22">
        <v>2</v>
      </c>
      <c r="K119" s="24"/>
      <c r="L119" s="25" t="s">
        <v>76</v>
      </c>
      <c r="M119" s="18" t="str">
        <f t="shared" si="1"/>
        <v/>
      </c>
    </row>
    <row r="120" spans="1:13" ht="15" customHeight="1" x14ac:dyDescent="0.3">
      <c r="A120" s="34">
        <v>114</v>
      </c>
      <c r="B120" s="41" t="s">
        <v>167</v>
      </c>
      <c r="C120" s="35">
        <v>46307</v>
      </c>
      <c r="D120" s="36" t="s">
        <v>3</v>
      </c>
      <c r="E120" s="36" t="s">
        <v>136</v>
      </c>
      <c r="F120" s="41" t="s">
        <v>49</v>
      </c>
      <c r="G120" s="41" t="s">
        <v>307</v>
      </c>
      <c r="H120" s="37" t="s">
        <v>308</v>
      </c>
      <c r="I120" s="37" t="s">
        <v>309</v>
      </c>
      <c r="J120" s="38">
        <v>1.5</v>
      </c>
      <c r="K120" s="39"/>
      <c r="L120" s="40" t="s">
        <v>76</v>
      </c>
      <c r="M120" s="18" t="str">
        <f t="shared" si="1"/>
        <v/>
      </c>
    </row>
    <row r="121" spans="1:13" ht="30" customHeight="1" x14ac:dyDescent="0.3">
      <c r="A121" s="34">
        <v>113</v>
      </c>
      <c r="B121" s="41" t="s">
        <v>167</v>
      </c>
      <c r="C121" s="35">
        <v>46307</v>
      </c>
      <c r="D121" s="36" t="s">
        <v>5</v>
      </c>
      <c r="E121" s="36" t="s">
        <v>134</v>
      </c>
      <c r="F121" s="41" t="s">
        <v>53</v>
      </c>
      <c r="G121" s="41" t="s">
        <v>310</v>
      </c>
      <c r="H121" s="37" t="s">
        <v>311</v>
      </c>
      <c r="I121" s="37" t="s">
        <v>312</v>
      </c>
      <c r="J121" s="38">
        <v>0.25</v>
      </c>
      <c r="K121" s="39"/>
      <c r="L121" s="40" t="s">
        <v>76</v>
      </c>
      <c r="M121" s="18" t="str">
        <f t="shared" si="1"/>
        <v/>
      </c>
    </row>
    <row r="122" spans="1:13" ht="15" customHeight="1" x14ac:dyDescent="0.3">
      <c r="A122" s="19">
        <v>117</v>
      </c>
      <c r="B122" s="19" t="s">
        <v>167</v>
      </c>
      <c r="C122" s="20">
        <v>46307</v>
      </c>
      <c r="D122" s="23" t="s">
        <v>4</v>
      </c>
      <c r="E122" s="23" t="s">
        <v>137</v>
      </c>
      <c r="F122" s="19" t="s">
        <v>53</v>
      </c>
      <c r="G122" s="19" t="s">
        <v>310</v>
      </c>
      <c r="H122" s="21" t="s">
        <v>311</v>
      </c>
      <c r="I122" s="21" t="s">
        <v>312</v>
      </c>
      <c r="J122" s="22">
        <v>0.75</v>
      </c>
      <c r="K122" s="24"/>
      <c r="L122" s="25" t="s">
        <v>76</v>
      </c>
      <c r="M122" s="18" t="str">
        <f t="shared" si="1"/>
        <v/>
      </c>
    </row>
    <row r="123" spans="1:13" ht="15" customHeight="1" x14ac:dyDescent="0.3">
      <c r="A123" s="19">
        <v>115</v>
      </c>
      <c r="B123" s="19" t="s">
        <v>167</v>
      </c>
      <c r="C123" s="20">
        <v>46307</v>
      </c>
      <c r="D123" s="23" t="s">
        <v>3</v>
      </c>
      <c r="E123" s="23" t="s">
        <v>136</v>
      </c>
      <c r="F123" s="19" t="s">
        <v>53</v>
      </c>
      <c r="G123" s="19" t="s">
        <v>310</v>
      </c>
      <c r="H123" s="21" t="s">
        <v>311</v>
      </c>
      <c r="I123" s="21" t="s">
        <v>312</v>
      </c>
      <c r="J123" s="22">
        <v>1.25</v>
      </c>
      <c r="K123" s="24"/>
      <c r="L123" s="25" t="s">
        <v>76</v>
      </c>
      <c r="M123" s="18" t="str">
        <f t="shared" si="1"/>
        <v/>
      </c>
    </row>
    <row r="124" spans="1:13" ht="30" customHeight="1" x14ac:dyDescent="0.3">
      <c r="A124" s="19">
        <v>119</v>
      </c>
      <c r="B124" s="19" t="s">
        <v>167</v>
      </c>
      <c r="C124" s="20">
        <v>46307</v>
      </c>
      <c r="D124" s="23" t="s">
        <v>6</v>
      </c>
      <c r="E124" s="23" t="s">
        <v>138</v>
      </c>
      <c r="F124" s="19" t="s">
        <v>53</v>
      </c>
      <c r="G124" s="19" t="s">
        <v>313</v>
      </c>
      <c r="H124" s="21" t="s">
        <v>314</v>
      </c>
      <c r="I124" s="21" t="s">
        <v>312</v>
      </c>
      <c r="J124" s="22">
        <v>1.75</v>
      </c>
      <c r="K124" s="24"/>
      <c r="L124" s="25" t="s">
        <v>76</v>
      </c>
      <c r="M124" s="18" t="str">
        <f t="shared" si="1"/>
        <v/>
      </c>
    </row>
    <row r="125" spans="1:13" ht="30" customHeight="1" x14ac:dyDescent="0.3">
      <c r="A125" s="19">
        <v>121</v>
      </c>
      <c r="B125" s="19" t="s">
        <v>167</v>
      </c>
      <c r="C125" s="20">
        <v>46308</v>
      </c>
      <c r="D125" s="23" t="s">
        <v>5</v>
      </c>
      <c r="E125" s="23" t="s">
        <v>134</v>
      </c>
      <c r="F125" s="19" t="s">
        <v>53</v>
      </c>
      <c r="G125" s="19" t="s">
        <v>310</v>
      </c>
      <c r="H125" s="21" t="s">
        <v>311</v>
      </c>
      <c r="I125" s="21" t="s">
        <v>312</v>
      </c>
      <c r="J125" s="22">
        <v>2.75</v>
      </c>
      <c r="K125" s="24"/>
      <c r="L125" s="25" t="s">
        <v>76</v>
      </c>
      <c r="M125" s="18" t="str">
        <f t="shared" si="1"/>
        <v/>
      </c>
    </row>
    <row r="126" spans="1:13" ht="15" customHeight="1" x14ac:dyDescent="0.3">
      <c r="A126" s="19">
        <v>123</v>
      </c>
      <c r="B126" s="19" t="s">
        <v>167</v>
      </c>
      <c r="C126" s="20">
        <v>46308</v>
      </c>
      <c r="D126" s="23" t="s">
        <v>4</v>
      </c>
      <c r="E126" s="23" t="s">
        <v>137</v>
      </c>
      <c r="F126" s="19" t="s">
        <v>53</v>
      </c>
      <c r="G126" s="19" t="s">
        <v>310</v>
      </c>
      <c r="H126" s="21" t="s">
        <v>311</v>
      </c>
      <c r="I126" s="21" t="s">
        <v>312</v>
      </c>
      <c r="J126" s="22">
        <v>0.75</v>
      </c>
      <c r="K126" s="24"/>
      <c r="L126" s="25" t="s">
        <v>76</v>
      </c>
      <c r="M126" s="18" t="str">
        <f t="shared" si="1"/>
        <v/>
      </c>
    </row>
    <row r="127" spans="1:13" ht="15" customHeight="1" x14ac:dyDescent="0.3">
      <c r="A127" s="19">
        <v>122</v>
      </c>
      <c r="B127" s="19" t="s">
        <v>167</v>
      </c>
      <c r="C127" s="20">
        <v>46308</v>
      </c>
      <c r="D127" s="23" t="s">
        <v>3</v>
      </c>
      <c r="E127" s="23" t="s">
        <v>136</v>
      </c>
      <c r="F127" s="19" t="s">
        <v>53</v>
      </c>
      <c r="G127" s="19" t="s">
        <v>310</v>
      </c>
      <c r="H127" s="21" t="s">
        <v>311</v>
      </c>
      <c r="I127" s="21" t="s">
        <v>312</v>
      </c>
      <c r="J127" s="22">
        <v>0.75</v>
      </c>
      <c r="K127" s="24"/>
      <c r="L127" s="25" t="s">
        <v>76</v>
      </c>
      <c r="M127" s="18" t="str">
        <f t="shared" si="1"/>
        <v/>
      </c>
    </row>
    <row r="128" spans="1:13" ht="30" customHeight="1" x14ac:dyDescent="0.3">
      <c r="A128" s="19">
        <v>124</v>
      </c>
      <c r="B128" s="19" t="s">
        <v>167</v>
      </c>
      <c r="C128" s="20">
        <v>46308</v>
      </c>
      <c r="D128" s="23" t="s">
        <v>6</v>
      </c>
      <c r="E128" s="23" t="s">
        <v>138</v>
      </c>
      <c r="F128" s="19" t="s">
        <v>53</v>
      </c>
      <c r="G128" s="19" t="s">
        <v>313</v>
      </c>
      <c r="H128" s="21" t="s">
        <v>314</v>
      </c>
      <c r="I128" s="21" t="s">
        <v>312</v>
      </c>
      <c r="J128" s="22">
        <v>1.25</v>
      </c>
      <c r="K128" s="24"/>
      <c r="L128" s="25" t="s">
        <v>76</v>
      </c>
      <c r="M128" s="18" t="str">
        <f t="shared" si="1"/>
        <v/>
      </c>
    </row>
    <row r="129" spans="1:13" ht="30" customHeight="1" x14ac:dyDescent="0.3">
      <c r="A129" s="19">
        <v>126</v>
      </c>
      <c r="B129" s="19" t="s">
        <v>167</v>
      </c>
      <c r="C129" s="20">
        <v>46310</v>
      </c>
      <c r="D129" s="23" t="s">
        <v>5</v>
      </c>
      <c r="E129" s="23" t="s">
        <v>134</v>
      </c>
      <c r="F129" s="19" t="s">
        <v>53</v>
      </c>
      <c r="G129" s="19" t="s">
        <v>310</v>
      </c>
      <c r="H129" s="21" t="s">
        <v>311</v>
      </c>
      <c r="I129" s="21" t="s">
        <v>312</v>
      </c>
      <c r="J129" s="22">
        <v>2.75</v>
      </c>
      <c r="K129" s="24"/>
      <c r="L129" s="25" t="s">
        <v>76</v>
      </c>
      <c r="M129" s="18" t="str">
        <f t="shared" si="1"/>
        <v/>
      </c>
    </row>
    <row r="130" spans="1:13" ht="15" customHeight="1" x14ac:dyDescent="0.3">
      <c r="A130" s="19">
        <v>128</v>
      </c>
      <c r="B130" s="19" t="s">
        <v>167</v>
      </c>
      <c r="C130" s="20">
        <v>46310</v>
      </c>
      <c r="D130" s="23" t="s">
        <v>4</v>
      </c>
      <c r="E130" s="23" t="s">
        <v>137</v>
      </c>
      <c r="F130" s="19" t="s">
        <v>53</v>
      </c>
      <c r="G130" s="19" t="s">
        <v>310</v>
      </c>
      <c r="H130" s="21" t="s">
        <v>311</v>
      </c>
      <c r="I130" s="21" t="s">
        <v>312</v>
      </c>
      <c r="J130" s="22">
        <v>2.75</v>
      </c>
      <c r="K130" s="24"/>
      <c r="L130" s="25" t="s">
        <v>76</v>
      </c>
      <c r="M130" s="18" t="str">
        <f t="shared" ref="M130:M193" si="3">IF(AND(C130&lt;=FechaCorte,NOT(ISNUMBER(K130))),"Por confirmar","")</f>
        <v/>
      </c>
    </row>
    <row r="131" spans="1:13" ht="30" customHeight="1" x14ac:dyDescent="0.3">
      <c r="A131" s="19">
        <v>129</v>
      </c>
      <c r="B131" s="19" t="s">
        <v>167</v>
      </c>
      <c r="C131" s="20">
        <v>46310</v>
      </c>
      <c r="D131" s="23" t="s">
        <v>6</v>
      </c>
      <c r="E131" s="23" t="s">
        <v>138</v>
      </c>
      <c r="F131" s="19" t="s">
        <v>53</v>
      </c>
      <c r="G131" s="19" t="s">
        <v>313</v>
      </c>
      <c r="H131" s="21" t="s">
        <v>314</v>
      </c>
      <c r="I131" s="21" t="s">
        <v>312</v>
      </c>
      <c r="J131" s="22">
        <v>2.75</v>
      </c>
      <c r="K131" s="24"/>
      <c r="L131" s="25" t="s">
        <v>76</v>
      </c>
      <c r="M131" s="18" t="str">
        <f t="shared" si="3"/>
        <v/>
      </c>
    </row>
    <row r="132" spans="1:13" ht="30" customHeight="1" x14ac:dyDescent="0.3">
      <c r="A132" s="19">
        <v>131</v>
      </c>
      <c r="B132" s="19" t="s">
        <v>167</v>
      </c>
      <c r="C132" s="20">
        <v>46311</v>
      </c>
      <c r="D132" s="23" t="s">
        <v>5</v>
      </c>
      <c r="E132" s="23" t="s">
        <v>134</v>
      </c>
      <c r="F132" s="19" t="s">
        <v>53</v>
      </c>
      <c r="G132" s="19" t="s">
        <v>310</v>
      </c>
      <c r="H132" s="21" t="s">
        <v>311</v>
      </c>
      <c r="I132" s="21" t="s">
        <v>312</v>
      </c>
      <c r="J132" s="22">
        <v>2.75</v>
      </c>
      <c r="K132" s="24"/>
      <c r="L132" s="25" t="s">
        <v>76</v>
      </c>
      <c r="M132" s="18" t="str">
        <f t="shared" si="3"/>
        <v/>
      </c>
    </row>
    <row r="133" spans="1:13" ht="15" customHeight="1" x14ac:dyDescent="0.3">
      <c r="A133" s="19">
        <v>133</v>
      </c>
      <c r="B133" s="19" t="s">
        <v>167</v>
      </c>
      <c r="C133" s="20">
        <v>46311</v>
      </c>
      <c r="D133" s="23" t="s">
        <v>4</v>
      </c>
      <c r="E133" s="23" t="s">
        <v>137</v>
      </c>
      <c r="F133" s="19" t="s">
        <v>53</v>
      </c>
      <c r="G133" s="19" t="s">
        <v>310</v>
      </c>
      <c r="H133" s="21" t="s">
        <v>311</v>
      </c>
      <c r="I133" s="21" t="s">
        <v>312</v>
      </c>
      <c r="J133" s="22">
        <v>2.75</v>
      </c>
      <c r="K133" s="24"/>
      <c r="L133" s="25" t="s">
        <v>76</v>
      </c>
      <c r="M133" s="18" t="str">
        <f t="shared" si="3"/>
        <v/>
      </c>
    </row>
    <row r="134" spans="1:13" ht="30" customHeight="1" x14ac:dyDescent="0.3">
      <c r="A134" s="19">
        <v>134</v>
      </c>
      <c r="B134" s="19" t="s">
        <v>167</v>
      </c>
      <c r="C134" s="20">
        <v>46311</v>
      </c>
      <c r="D134" s="23" t="s">
        <v>6</v>
      </c>
      <c r="E134" s="23" t="s">
        <v>138</v>
      </c>
      <c r="F134" s="19" t="s">
        <v>53</v>
      </c>
      <c r="G134" s="19" t="s">
        <v>313</v>
      </c>
      <c r="H134" s="21" t="s">
        <v>314</v>
      </c>
      <c r="I134" s="21" t="s">
        <v>312</v>
      </c>
      <c r="J134" s="22">
        <v>0.75</v>
      </c>
      <c r="K134" s="24"/>
      <c r="L134" s="25" t="s">
        <v>76</v>
      </c>
      <c r="M134" s="18" t="str">
        <f t="shared" si="3"/>
        <v/>
      </c>
    </row>
    <row r="135" spans="1:13" ht="30" customHeight="1" x14ac:dyDescent="0.3">
      <c r="A135" s="19">
        <v>137</v>
      </c>
      <c r="B135" s="19" t="s">
        <v>167</v>
      </c>
      <c r="C135" s="20">
        <v>46315</v>
      </c>
      <c r="D135" s="23" t="s">
        <v>5</v>
      </c>
      <c r="E135" s="23" t="s">
        <v>134</v>
      </c>
      <c r="F135" s="19" t="s">
        <v>53</v>
      </c>
      <c r="G135" s="19" t="s">
        <v>310</v>
      </c>
      <c r="H135" s="21" t="s">
        <v>311</v>
      </c>
      <c r="I135" s="21" t="s">
        <v>312</v>
      </c>
      <c r="J135" s="22">
        <v>1.5</v>
      </c>
      <c r="K135" s="24"/>
      <c r="L135" s="25" t="s">
        <v>76</v>
      </c>
      <c r="M135" s="18" t="str">
        <f t="shared" si="3"/>
        <v/>
      </c>
    </row>
    <row r="136" spans="1:13" ht="15" customHeight="1" x14ac:dyDescent="0.3">
      <c r="A136" s="19">
        <v>142</v>
      </c>
      <c r="B136" s="19" t="s">
        <v>167</v>
      </c>
      <c r="C136" s="20">
        <v>46315</v>
      </c>
      <c r="D136" s="23" t="s">
        <v>4</v>
      </c>
      <c r="E136" s="23" t="s">
        <v>137</v>
      </c>
      <c r="F136" s="19" t="s">
        <v>53</v>
      </c>
      <c r="G136" s="19" t="s">
        <v>310</v>
      </c>
      <c r="H136" s="21" t="s">
        <v>311</v>
      </c>
      <c r="I136" s="21" t="s">
        <v>312</v>
      </c>
      <c r="J136" s="22">
        <v>1.25</v>
      </c>
      <c r="K136" s="24"/>
      <c r="L136" s="25" t="s">
        <v>76</v>
      </c>
      <c r="M136" s="18" t="str">
        <f t="shared" si="3"/>
        <v/>
      </c>
    </row>
    <row r="137" spans="1:13" ht="15" customHeight="1" x14ac:dyDescent="0.3">
      <c r="A137" s="19">
        <v>149</v>
      </c>
      <c r="B137" s="19" t="s">
        <v>167</v>
      </c>
      <c r="C137" s="20">
        <v>46316</v>
      </c>
      <c r="D137" s="23" t="s">
        <v>4</v>
      </c>
      <c r="E137" s="23" t="s">
        <v>137</v>
      </c>
      <c r="F137" s="19" t="s">
        <v>53</v>
      </c>
      <c r="G137" s="19" t="s">
        <v>310</v>
      </c>
      <c r="H137" s="21" t="s">
        <v>311</v>
      </c>
      <c r="I137" s="21" t="s">
        <v>312</v>
      </c>
      <c r="J137" s="22">
        <v>0.25</v>
      </c>
      <c r="K137" s="24"/>
      <c r="L137" s="25" t="s">
        <v>76</v>
      </c>
      <c r="M137" s="18" t="str">
        <f t="shared" si="3"/>
        <v/>
      </c>
    </row>
    <row r="138" spans="1:13" ht="15" customHeight="1" x14ac:dyDescent="0.3">
      <c r="A138" s="34">
        <v>127</v>
      </c>
      <c r="B138" s="41" t="s">
        <v>167</v>
      </c>
      <c r="C138" s="35">
        <v>46310</v>
      </c>
      <c r="D138" s="36" t="s">
        <v>3</v>
      </c>
      <c r="E138" s="36" t="s">
        <v>136</v>
      </c>
      <c r="F138" s="41" t="s">
        <v>57</v>
      </c>
      <c r="G138" s="41" t="s">
        <v>315</v>
      </c>
      <c r="H138" s="37" t="s">
        <v>316</v>
      </c>
      <c r="I138" s="37" t="s">
        <v>317</v>
      </c>
      <c r="J138" s="38">
        <v>2.75</v>
      </c>
      <c r="K138" s="39"/>
      <c r="L138" s="40" t="s">
        <v>76</v>
      </c>
      <c r="M138" s="18" t="str">
        <f t="shared" si="3"/>
        <v/>
      </c>
    </row>
    <row r="139" spans="1:13" ht="15" customHeight="1" x14ac:dyDescent="0.3">
      <c r="A139" s="19">
        <v>132</v>
      </c>
      <c r="B139" s="19" t="s">
        <v>167</v>
      </c>
      <c r="C139" s="20">
        <v>46311</v>
      </c>
      <c r="D139" s="23" t="s">
        <v>3</v>
      </c>
      <c r="E139" s="23" t="s">
        <v>136</v>
      </c>
      <c r="F139" s="19" t="s">
        <v>57</v>
      </c>
      <c r="G139" s="19" t="s">
        <v>315</v>
      </c>
      <c r="H139" s="21" t="s">
        <v>316</v>
      </c>
      <c r="I139" s="21" t="s">
        <v>317</v>
      </c>
      <c r="J139" s="22">
        <v>2.75</v>
      </c>
      <c r="K139" s="24"/>
      <c r="L139" s="25" t="s">
        <v>76</v>
      </c>
      <c r="M139" s="18" t="str">
        <f t="shared" si="3"/>
        <v/>
      </c>
    </row>
    <row r="140" spans="1:13" ht="30" customHeight="1" x14ac:dyDescent="0.3">
      <c r="A140" s="19">
        <v>135</v>
      </c>
      <c r="B140" s="19" t="s">
        <v>167</v>
      </c>
      <c r="C140" s="20">
        <v>46311</v>
      </c>
      <c r="D140" s="23" t="s">
        <v>6</v>
      </c>
      <c r="E140" s="23" t="s">
        <v>138</v>
      </c>
      <c r="F140" s="19" t="s">
        <v>57</v>
      </c>
      <c r="G140" s="19" t="s">
        <v>318</v>
      </c>
      <c r="H140" s="21" t="s">
        <v>319</v>
      </c>
      <c r="I140" s="21" t="s">
        <v>317</v>
      </c>
      <c r="J140" s="22">
        <v>2</v>
      </c>
      <c r="K140" s="24"/>
      <c r="L140" s="25" t="s">
        <v>76</v>
      </c>
      <c r="M140" s="18" t="str">
        <f t="shared" si="3"/>
        <v/>
      </c>
    </row>
    <row r="141" spans="1:13" ht="15" customHeight="1" x14ac:dyDescent="0.3">
      <c r="A141" s="19">
        <v>140</v>
      </c>
      <c r="B141" s="19" t="s">
        <v>167</v>
      </c>
      <c r="C141" s="20">
        <v>46315</v>
      </c>
      <c r="D141" s="23" t="s">
        <v>3</v>
      </c>
      <c r="E141" s="23" t="s">
        <v>136</v>
      </c>
      <c r="F141" s="19" t="s">
        <v>57</v>
      </c>
      <c r="G141" s="19" t="s">
        <v>315</v>
      </c>
      <c r="H141" s="21" t="s">
        <v>316</v>
      </c>
      <c r="I141" s="21" t="s">
        <v>317</v>
      </c>
      <c r="J141" s="22">
        <v>2.5</v>
      </c>
      <c r="K141" s="24"/>
      <c r="L141" s="25" t="s">
        <v>76</v>
      </c>
      <c r="M141" s="18" t="str">
        <f t="shared" si="3"/>
        <v/>
      </c>
    </row>
    <row r="142" spans="1:13" ht="30" customHeight="1" x14ac:dyDescent="0.3">
      <c r="A142" s="19">
        <v>143</v>
      </c>
      <c r="B142" s="19" t="s">
        <v>167</v>
      </c>
      <c r="C142" s="20">
        <v>46315</v>
      </c>
      <c r="D142" s="23" t="s">
        <v>6</v>
      </c>
      <c r="E142" s="23" t="s">
        <v>138</v>
      </c>
      <c r="F142" s="19" t="s">
        <v>57</v>
      </c>
      <c r="G142" s="19" t="s">
        <v>318</v>
      </c>
      <c r="H142" s="21" t="s">
        <v>319</v>
      </c>
      <c r="I142" s="21" t="s">
        <v>317</v>
      </c>
      <c r="J142" s="22">
        <v>2</v>
      </c>
      <c r="K142" s="24"/>
      <c r="L142" s="25" t="s">
        <v>76</v>
      </c>
      <c r="M142" s="18" t="str">
        <f t="shared" si="3"/>
        <v/>
      </c>
    </row>
    <row r="143" spans="1:13" ht="30" customHeight="1" x14ac:dyDescent="0.3">
      <c r="A143" s="19">
        <v>150</v>
      </c>
      <c r="B143" s="19" t="s">
        <v>167</v>
      </c>
      <c r="C143" s="20">
        <v>46316</v>
      </c>
      <c r="D143" s="23" t="s">
        <v>4</v>
      </c>
      <c r="E143" s="23" t="s">
        <v>137</v>
      </c>
      <c r="F143" s="19" t="s">
        <v>57</v>
      </c>
      <c r="G143" s="19" t="s">
        <v>318</v>
      </c>
      <c r="H143" s="21" t="s">
        <v>319</v>
      </c>
      <c r="I143" s="21" t="s">
        <v>317</v>
      </c>
      <c r="J143" s="22">
        <v>2</v>
      </c>
      <c r="K143" s="24"/>
      <c r="L143" s="25" t="s">
        <v>76</v>
      </c>
      <c r="M143" s="18" t="str">
        <f t="shared" si="3"/>
        <v/>
      </c>
    </row>
    <row r="144" spans="1:13" ht="30" customHeight="1" x14ac:dyDescent="0.3">
      <c r="A144" s="34">
        <v>139</v>
      </c>
      <c r="B144" s="41" t="s">
        <v>167</v>
      </c>
      <c r="C144" s="35">
        <v>46315</v>
      </c>
      <c r="D144" s="36" t="s">
        <v>5</v>
      </c>
      <c r="E144" s="36" t="s">
        <v>134</v>
      </c>
      <c r="F144" s="41" t="s">
        <v>61</v>
      </c>
      <c r="G144" s="41" t="s">
        <v>63</v>
      </c>
      <c r="H144" s="37" t="s">
        <v>320</v>
      </c>
      <c r="I144" s="37" t="s">
        <v>321</v>
      </c>
      <c r="J144" s="38">
        <v>0.25</v>
      </c>
      <c r="K144" s="39"/>
      <c r="L144" s="40" t="s">
        <v>76</v>
      </c>
      <c r="M144" s="18" t="str">
        <f t="shared" si="3"/>
        <v/>
      </c>
    </row>
    <row r="145" spans="1:13" ht="30" customHeight="1" x14ac:dyDescent="0.3">
      <c r="A145" s="19">
        <v>144</v>
      </c>
      <c r="B145" s="19" t="s">
        <v>167</v>
      </c>
      <c r="C145" s="20">
        <v>46315</v>
      </c>
      <c r="D145" s="23" t="s">
        <v>6</v>
      </c>
      <c r="E145" s="23" t="s">
        <v>138</v>
      </c>
      <c r="F145" s="19" t="s">
        <v>61</v>
      </c>
      <c r="G145" s="19" t="s">
        <v>63</v>
      </c>
      <c r="H145" s="21" t="s">
        <v>320</v>
      </c>
      <c r="I145" s="21" t="s">
        <v>321</v>
      </c>
      <c r="J145" s="22">
        <v>0.75</v>
      </c>
      <c r="K145" s="24"/>
      <c r="L145" s="25" t="s">
        <v>76</v>
      </c>
      <c r="M145" s="18" t="str">
        <f t="shared" si="3"/>
        <v/>
      </c>
    </row>
    <row r="146" spans="1:13" ht="30" customHeight="1" x14ac:dyDescent="0.3">
      <c r="A146" s="19">
        <v>146</v>
      </c>
      <c r="B146" s="19" t="s">
        <v>167</v>
      </c>
      <c r="C146" s="20">
        <v>46316</v>
      </c>
      <c r="D146" s="23" t="s">
        <v>5</v>
      </c>
      <c r="E146" s="23" t="s">
        <v>134</v>
      </c>
      <c r="F146" s="19" t="s">
        <v>61</v>
      </c>
      <c r="G146" s="19" t="s">
        <v>63</v>
      </c>
      <c r="H146" s="21" t="s">
        <v>320</v>
      </c>
      <c r="I146" s="21" t="s">
        <v>321</v>
      </c>
      <c r="J146" s="22">
        <v>1.25</v>
      </c>
      <c r="K146" s="24"/>
      <c r="L146" s="25" t="s">
        <v>76</v>
      </c>
      <c r="M146" s="18" t="str">
        <f t="shared" si="3"/>
        <v/>
      </c>
    </row>
    <row r="147" spans="1:13" ht="30" customHeight="1" x14ac:dyDescent="0.3">
      <c r="A147" s="19">
        <v>152</v>
      </c>
      <c r="B147" s="19" t="s">
        <v>167</v>
      </c>
      <c r="C147" s="20">
        <v>46316</v>
      </c>
      <c r="D147" s="23" t="s">
        <v>6</v>
      </c>
      <c r="E147" s="23" t="s">
        <v>138</v>
      </c>
      <c r="F147" s="19" t="s">
        <v>61</v>
      </c>
      <c r="G147" s="19" t="s">
        <v>63</v>
      </c>
      <c r="H147" s="21" t="s">
        <v>320</v>
      </c>
      <c r="I147" s="21" t="s">
        <v>321</v>
      </c>
      <c r="J147" s="22">
        <v>1.25</v>
      </c>
      <c r="K147" s="24"/>
      <c r="L147" s="25" t="s">
        <v>76</v>
      </c>
      <c r="M147" s="18" t="str">
        <f t="shared" si="3"/>
        <v/>
      </c>
    </row>
    <row r="148" spans="1:13" ht="43.05" customHeight="1" x14ac:dyDescent="0.3">
      <c r="A148" s="19">
        <v>151</v>
      </c>
      <c r="B148" s="19" t="s">
        <v>167</v>
      </c>
      <c r="C148" s="20">
        <v>46308</v>
      </c>
      <c r="D148" s="23" t="s">
        <v>4</v>
      </c>
      <c r="E148" s="23" t="s">
        <v>137</v>
      </c>
      <c r="F148" s="19" t="s">
        <v>61</v>
      </c>
      <c r="G148" s="19" t="s">
        <v>63</v>
      </c>
      <c r="H148" s="21" t="s">
        <v>358</v>
      </c>
      <c r="I148" s="21" t="s">
        <v>321</v>
      </c>
      <c r="J148" s="22">
        <v>2</v>
      </c>
      <c r="K148" s="24"/>
      <c r="L148" s="25" t="s">
        <v>76</v>
      </c>
      <c r="M148" s="18" t="str">
        <f t="shared" si="3"/>
        <v/>
      </c>
    </row>
    <row r="149" spans="1:13" ht="15" customHeight="1" x14ac:dyDescent="0.3">
      <c r="A149" s="19">
        <v>159</v>
      </c>
      <c r="B149" s="19" t="s">
        <v>167</v>
      </c>
      <c r="C149" s="20">
        <v>46318</v>
      </c>
      <c r="D149" s="23" t="s">
        <v>4</v>
      </c>
      <c r="E149" s="23" t="s">
        <v>137</v>
      </c>
      <c r="F149" s="19" t="s">
        <v>61</v>
      </c>
      <c r="G149" s="19" t="s">
        <v>63</v>
      </c>
      <c r="H149" s="21" t="s">
        <v>320</v>
      </c>
      <c r="I149" s="21" t="s">
        <v>321</v>
      </c>
      <c r="J149" s="22">
        <v>1.25</v>
      </c>
      <c r="K149" s="24"/>
      <c r="L149" s="25" t="s">
        <v>76</v>
      </c>
      <c r="M149" s="18" t="str">
        <f t="shared" si="3"/>
        <v/>
      </c>
    </row>
    <row r="150" spans="1:13" ht="15" customHeight="1" x14ac:dyDescent="0.3">
      <c r="A150" s="19">
        <v>167</v>
      </c>
      <c r="B150" s="19" t="s">
        <v>167</v>
      </c>
      <c r="C150" s="20">
        <v>46321</v>
      </c>
      <c r="D150" s="23" t="s">
        <v>4</v>
      </c>
      <c r="E150" s="23" t="s">
        <v>137</v>
      </c>
      <c r="F150" s="19" t="s">
        <v>61</v>
      </c>
      <c r="G150" s="19" t="s">
        <v>63</v>
      </c>
      <c r="H150" s="21" t="s">
        <v>320</v>
      </c>
      <c r="I150" s="21" t="s">
        <v>321</v>
      </c>
      <c r="J150" s="22">
        <v>0.25</v>
      </c>
      <c r="K150" s="24"/>
      <c r="L150" s="25" t="s">
        <v>76</v>
      </c>
      <c r="M150" s="18" t="str">
        <f t="shared" si="3"/>
        <v/>
      </c>
    </row>
    <row r="151" spans="1:13" ht="43.05" customHeight="1" x14ac:dyDescent="0.3">
      <c r="A151" s="34">
        <v>141</v>
      </c>
      <c r="B151" s="41" t="s">
        <v>167</v>
      </c>
      <c r="C151" s="35">
        <v>46308</v>
      </c>
      <c r="D151" s="36" t="s">
        <v>3</v>
      </c>
      <c r="E151" s="36" t="s">
        <v>136</v>
      </c>
      <c r="F151" s="41" t="s">
        <v>65</v>
      </c>
      <c r="G151" s="41" t="s">
        <v>322</v>
      </c>
      <c r="H151" s="37" t="s">
        <v>358</v>
      </c>
      <c r="I151" s="37" t="s">
        <v>324</v>
      </c>
      <c r="J151" s="38">
        <v>2</v>
      </c>
      <c r="K151" s="39"/>
      <c r="L151" s="40" t="s">
        <v>76</v>
      </c>
      <c r="M151" s="18" t="str">
        <f t="shared" si="3"/>
        <v/>
      </c>
    </row>
    <row r="152" spans="1:13" ht="30" customHeight="1" x14ac:dyDescent="0.3">
      <c r="A152" s="19">
        <v>148</v>
      </c>
      <c r="B152" s="19" t="s">
        <v>167</v>
      </c>
      <c r="C152" s="20">
        <v>46316</v>
      </c>
      <c r="D152" s="23" t="s">
        <v>3</v>
      </c>
      <c r="E152" s="23" t="s">
        <v>136</v>
      </c>
      <c r="F152" s="19" t="s">
        <v>65</v>
      </c>
      <c r="G152" s="19" t="s">
        <v>322</v>
      </c>
      <c r="H152" s="21" t="s">
        <v>323</v>
      </c>
      <c r="I152" s="21" t="s">
        <v>324</v>
      </c>
      <c r="J152" s="22">
        <v>1</v>
      </c>
      <c r="K152" s="24"/>
      <c r="L152" s="25" t="s">
        <v>76</v>
      </c>
      <c r="M152" s="18" t="str">
        <f t="shared" si="3"/>
        <v/>
      </c>
    </row>
    <row r="153" spans="1:13" ht="30" customHeight="1" x14ac:dyDescent="0.3">
      <c r="A153" s="19">
        <v>147</v>
      </c>
      <c r="B153" s="19" t="s">
        <v>167</v>
      </c>
      <c r="C153" s="20">
        <v>46316</v>
      </c>
      <c r="D153" s="23" t="s">
        <v>5</v>
      </c>
      <c r="E153" s="23" t="s">
        <v>134</v>
      </c>
      <c r="F153" s="19" t="s">
        <v>65</v>
      </c>
      <c r="G153" s="19" t="s">
        <v>325</v>
      </c>
      <c r="H153" s="21" t="s">
        <v>326</v>
      </c>
      <c r="I153" s="21" t="s">
        <v>327</v>
      </c>
      <c r="J153" s="22">
        <v>1.5</v>
      </c>
      <c r="K153" s="24"/>
      <c r="L153" s="25" t="s">
        <v>76</v>
      </c>
      <c r="M153" s="18" t="str">
        <f t="shared" si="3"/>
        <v/>
      </c>
    </row>
    <row r="154" spans="1:13" ht="30" customHeight="1" x14ac:dyDescent="0.3">
      <c r="A154" s="19">
        <v>153</v>
      </c>
      <c r="B154" s="19" t="s">
        <v>167</v>
      </c>
      <c r="C154" s="20">
        <v>46316</v>
      </c>
      <c r="D154" s="23" t="s">
        <v>6</v>
      </c>
      <c r="E154" s="23" t="s">
        <v>138</v>
      </c>
      <c r="F154" s="19" t="s">
        <v>65</v>
      </c>
      <c r="G154" s="19" t="s">
        <v>325</v>
      </c>
      <c r="H154" s="21" t="s">
        <v>326</v>
      </c>
      <c r="I154" s="21" t="s">
        <v>327</v>
      </c>
      <c r="J154" s="22">
        <v>1.5</v>
      </c>
      <c r="K154" s="24"/>
      <c r="L154" s="25" t="s">
        <v>76</v>
      </c>
      <c r="M154" s="18" t="str">
        <f t="shared" si="3"/>
        <v/>
      </c>
    </row>
    <row r="155" spans="1:13" ht="30" customHeight="1" x14ac:dyDescent="0.3">
      <c r="A155" s="19">
        <v>158</v>
      </c>
      <c r="B155" s="19" t="s">
        <v>167</v>
      </c>
      <c r="C155" s="20">
        <v>46318</v>
      </c>
      <c r="D155" s="23" t="s">
        <v>3</v>
      </c>
      <c r="E155" s="23" t="s">
        <v>136</v>
      </c>
      <c r="F155" s="19" t="s">
        <v>65</v>
      </c>
      <c r="G155" s="19" t="s">
        <v>322</v>
      </c>
      <c r="H155" s="21" t="s">
        <v>323</v>
      </c>
      <c r="I155" s="21" t="s">
        <v>324</v>
      </c>
      <c r="J155" s="22">
        <v>2.75</v>
      </c>
      <c r="K155" s="24"/>
      <c r="L155" s="25" t="s">
        <v>76</v>
      </c>
      <c r="M155" s="18" t="str">
        <f t="shared" si="3"/>
        <v/>
      </c>
    </row>
    <row r="156" spans="1:13" ht="30" customHeight="1" x14ac:dyDescent="0.3">
      <c r="A156" s="19">
        <v>155</v>
      </c>
      <c r="B156" s="19" t="s">
        <v>167</v>
      </c>
      <c r="C156" s="20">
        <v>46318</v>
      </c>
      <c r="D156" s="23" t="s">
        <v>5</v>
      </c>
      <c r="E156" s="23" t="s">
        <v>134</v>
      </c>
      <c r="F156" s="19" t="s">
        <v>65</v>
      </c>
      <c r="G156" s="19" t="s">
        <v>325</v>
      </c>
      <c r="H156" s="21" t="s">
        <v>326</v>
      </c>
      <c r="I156" s="21" t="s">
        <v>327</v>
      </c>
      <c r="J156" s="22">
        <v>0.5</v>
      </c>
      <c r="K156" s="24"/>
      <c r="L156" s="25" t="s">
        <v>76</v>
      </c>
      <c r="M156" s="18" t="str">
        <f t="shared" si="3"/>
        <v/>
      </c>
    </row>
    <row r="157" spans="1:13" ht="30" customHeight="1" x14ac:dyDescent="0.3">
      <c r="A157" s="19">
        <v>160</v>
      </c>
      <c r="B157" s="19" t="s">
        <v>167</v>
      </c>
      <c r="C157" s="20">
        <v>46318</v>
      </c>
      <c r="D157" s="23" t="s">
        <v>6</v>
      </c>
      <c r="E157" s="23" t="s">
        <v>138</v>
      </c>
      <c r="F157" s="19" t="s">
        <v>65</v>
      </c>
      <c r="G157" s="19" t="s">
        <v>325</v>
      </c>
      <c r="H157" s="21" t="s">
        <v>326</v>
      </c>
      <c r="I157" s="21" t="s">
        <v>327</v>
      </c>
      <c r="J157" s="22">
        <v>1.5</v>
      </c>
      <c r="K157" s="24"/>
      <c r="L157" s="25" t="s">
        <v>76</v>
      </c>
      <c r="M157" s="18" t="str">
        <f t="shared" si="3"/>
        <v/>
      </c>
    </row>
    <row r="158" spans="1:13" ht="30" customHeight="1" x14ac:dyDescent="0.3">
      <c r="A158" s="19">
        <v>166</v>
      </c>
      <c r="B158" s="19" t="s">
        <v>167</v>
      </c>
      <c r="C158" s="20">
        <v>46321</v>
      </c>
      <c r="D158" s="23" t="s">
        <v>3</v>
      </c>
      <c r="E158" s="23" t="s">
        <v>136</v>
      </c>
      <c r="F158" s="19" t="s">
        <v>65</v>
      </c>
      <c r="G158" s="19" t="s">
        <v>322</v>
      </c>
      <c r="H158" s="21" t="s">
        <v>323</v>
      </c>
      <c r="I158" s="21" t="s">
        <v>324</v>
      </c>
      <c r="J158" s="22">
        <v>0.75</v>
      </c>
      <c r="K158" s="24"/>
      <c r="L158" s="25" t="s">
        <v>76</v>
      </c>
      <c r="M158" s="18" t="str">
        <f t="shared" si="3"/>
        <v/>
      </c>
    </row>
    <row r="159" spans="1:13" ht="30" customHeight="1" x14ac:dyDescent="0.3">
      <c r="A159" s="19">
        <v>168</v>
      </c>
      <c r="B159" s="19" t="s">
        <v>167</v>
      </c>
      <c r="C159" s="20">
        <v>46321</v>
      </c>
      <c r="D159" s="23" t="s">
        <v>4</v>
      </c>
      <c r="E159" s="23" t="s">
        <v>137</v>
      </c>
      <c r="F159" s="19" t="s">
        <v>65</v>
      </c>
      <c r="G159" s="19" t="s">
        <v>325</v>
      </c>
      <c r="H159" s="21" t="s">
        <v>326</v>
      </c>
      <c r="I159" s="21" t="s">
        <v>327</v>
      </c>
      <c r="J159" s="22">
        <v>0.5</v>
      </c>
      <c r="K159" s="24"/>
      <c r="L159" s="25" t="s">
        <v>76</v>
      </c>
      <c r="M159" s="18" t="str">
        <f t="shared" si="3"/>
        <v/>
      </c>
    </row>
    <row r="160" spans="1:13" ht="15" customHeight="1" x14ac:dyDescent="0.3">
      <c r="A160" s="34">
        <v>163</v>
      </c>
      <c r="B160" s="41" t="s">
        <v>167</v>
      </c>
      <c r="C160" s="35">
        <v>46321</v>
      </c>
      <c r="D160" s="43" t="s">
        <v>288</v>
      </c>
      <c r="E160" s="43" t="s">
        <v>289</v>
      </c>
      <c r="F160" s="41" t="s">
        <v>69</v>
      </c>
      <c r="G160" s="41" t="s">
        <v>329</v>
      </c>
      <c r="H160" s="37" t="s">
        <v>359</v>
      </c>
      <c r="I160" s="37" t="s">
        <v>333</v>
      </c>
      <c r="J160" s="38">
        <v>4</v>
      </c>
      <c r="K160" s="39"/>
      <c r="L160" s="40" t="s">
        <v>76</v>
      </c>
      <c r="M160" s="18" t="str">
        <f t="shared" si="3"/>
        <v/>
      </c>
    </row>
    <row r="161" spans="1:13" ht="30" customHeight="1" x14ac:dyDescent="0.3">
      <c r="A161" s="34">
        <v>156</v>
      </c>
      <c r="B161" s="41" t="s">
        <v>167</v>
      </c>
      <c r="C161" s="35">
        <v>46318</v>
      </c>
      <c r="D161" s="36" t="s">
        <v>5</v>
      </c>
      <c r="E161" s="36" t="s">
        <v>134</v>
      </c>
      <c r="F161" s="41" t="s">
        <v>73</v>
      </c>
      <c r="G161" s="41" t="s">
        <v>334</v>
      </c>
      <c r="H161" s="37" t="s">
        <v>335</v>
      </c>
      <c r="I161" s="37" t="s">
        <v>336</v>
      </c>
      <c r="J161" s="38">
        <v>2</v>
      </c>
      <c r="K161" s="39"/>
      <c r="L161" s="40" t="s">
        <v>76</v>
      </c>
      <c r="M161" s="18" t="str">
        <f t="shared" si="3"/>
        <v/>
      </c>
    </row>
    <row r="162" spans="1:13" ht="30" customHeight="1" x14ac:dyDescent="0.3">
      <c r="A162" s="19">
        <v>161</v>
      </c>
      <c r="B162" s="19" t="s">
        <v>167</v>
      </c>
      <c r="C162" s="20">
        <v>46318</v>
      </c>
      <c r="D162" s="23" t="s">
        <v>6</v>
      </c>
      <c r="E162" s="23" t="s">
        <v>138</v>
      </c>
      <c r="F162" s="19" t="s">
        <v>73</v>
      </c>
      <c r="G162" s="19" t="s">
        <v>334</v>
      </c>
      <c r="H162" s="21" t="s">
        <v>335</v>
      </c>
      <c r="I162" s="21" t="s">
        <v>336</v>
      </c>
      <c r="J162" s="22">
        <v>1.25</v>
      </c>
      <c r="K162" s="24"/>
      <c r="L162" s="25" t="s">
        <v>76</v>
      </c>
      <c r="M162" s="18" t="str">
        <f t="shared" si="3"/>
        <v/>
      </c>
    </row>
    <row r="163" spans="1:13" ht="30" customHeight="1" x14ac:dyDescent="0.3">
      <c r="A163" s="19">
        <v>169</v>
      </c>
      <c r="B163" s="19" t="s">
        <v>167</v>
      </c>
      <c r="C163" s="20">
        <v>46321</v>
      </c>
      <c r="D163" s="23" t="s">
        <v>6</v>
      </c>
      <c r="E163" s="23" t="s">
        <v>138</v>
      </c>
      <c r="F163" s="19" t="s">
        <v>73</v>
      </c>
      <c r="G163" s="19" t="s">
        <v>334</v>
      </c>
      <c r="H163" s="21" t="s">
        <v>335</v>
      </c>
      <c r="I163" s="21" t="s">
        <v>336</v>
      </c>
      <c r="J163" s="22">
        <v>0.75</v>
      </c>
      <c r="K163" s="24"/>
      <c r="L163" s="25" t="s">
        <v>76</v>
      </c>
      <c r="M163" s="18" t="str">
        <f t="shared" si="3"/>
        <v/>
      </c>
    </row>
    <row r="164" spans="1:13" ht="43.05" customHeight="1" x14ac:dyDescent="0.3">
      <c r="A164" s="34">
        <v>266</v>
      </c>
      <c r="B164" s="41" t="s">
        <v>360</v>
      </c>
      <c r="C164" s="35">
        <v>46304</v>
      </c>
      <c r="D164" s="43" t="s">
        <v>288</v>
      </c>
      <c r="E164" s="43" t="s">
        <v>328</v>
      </c>
      <c r="F164" s="41" t="s">
        <v>81</v>
      </c>
      <c r="G164" s="41" t="s">
        <v>337</v>
      </c>
      <c r="H164" s="37" t="s">
        <v>361</v>
      </c>
      <c r="I164" s="37" t="s">
        <v>344</v>
      </c>
      <c r="J164" s="38">
        <v>0</v>
      </c>
      <c r="K164" s="39">
        <v>1</v>
      </c>
      <c r="L164" s="40" t="s">
        <v>163</v>
      </c>
      <c r="M164" s="18" t="str">
        <f t="shared" si="3"/>
        <v/>
      </c>
    </row>
    <row r="165" spans="1:13" ht="30" customHeight="1" x14ac:dyDescent="0.3">
      <c r="A165" s="19">
        <v>111</v>
      </c>
      <c r="B165" s="19" t="s">
        <v>167</v>
      </c>
      <c r="C165" s="20">
        <v>46307</v>
      </c>
      <c r="D165" s="42" t="s">
        <v>288</v>
      </c>
      <c r="E165" s="42" t="s">
        <v>289</v>
      </c>
      <c r="F165" s="19" t="s">
        <v>81</v>
      </c>
      <c r="G165" s="19" t="s">
        <v>337</v>
      </c>
      <c r="H165" s="21" t="s">
        <v>338</v>
      </c>
      <c r="I165" s="21" t="s">
        <v>339</v>
      </c>
      <c r="J165" s="22">
        <v>1</v>
      </c>
      <c r="K165" s="24"/>
      <c r="L165" s="25" t="s">
        <v>76</v>
      </c>
      <c r="M165" s="18" t="str">
        <f t="shared" si="3"/>
        <v/>
      </c>
    </row>
    <row r="166" spans="1:13" ht="30" customHeight="1" x14ac:dyDescent="0.3">
      <c r="A166" s="19">
        <v>120</v>
      </c>
      <c r="B166" s="19" t="s">
        <v>167</v>
      </c>
      <c r="C166" s="20">
        <v>46308</v>
      </c>
      <c r="D166" s="42" t="s">
        <v>288</v>
      </c>
      <c r="E166" s="42" t="s">
        <v>289</v>
      </c>
      <c r="F166" s="19" t="s">
        <v>81</v>
      </c>
      <c r="G166" s="19" t="s">
        <v>337</v>
      </c>
      <c r="H166" s="21" t="s">
        <v>338</v>
      </c>
      <c r="I166" s="21" t="s">
        <v>339</v>
      </c>
      <c r="J166" s="22">
        <v>1</v>
      </c>
      <c r="K166" s="24"/>
      <c r="L166" s="25" t="s">
        <v>76</v>
      </c>
      <c r="M166" s="18" t="str">
        <f t="shared" si="3"/>
        <v/>
      </c>
    </row>
    <row r="167" spans="1:13" ht="30" customHeight="1" x14ac:dyDescent="0.3">
      <c r="A167" s="19">
        <v>125</v>
      </c>
      <c r="B167" s="19" t="s">
        <v>167</v>
      </c>
      <c r="C167" s="20">
        <v>46310</v>
      </c>
      <c r="D167" s="42" t="s">
        <v>288</v>
      </c>
      <c r="E167" s="42" t="s">
        <v>289</v>
      </c>
      <c r="F167" s="19" t="s">
        <v>81</v>
      </c>
      <c r="G167" s="19" t="s">
        <v>337</v>
      </c>
      <c r="H167" s="21" t="s">
        <v>338</v>
      </c>
      <c r="I167" s="21" t="s">
        <v>339</v>
      </c>
      <c r="J167" s="22">
        <v>1</v>
      </c>
      <c r="K167" s="24"/>
      <c r="L167" s="25" t="s">
        <v>76</v>
      </c>
      <c r="M167" s="18" t="str">
        <f t="shared" si="3"/>
        <v/>
      </c>
    </row>
    <row r="168" spans="1:13" ht="30" customHeight="1" x14ac:dyDescent="0.3">
      <c r="A168" s="19">
        <v>130</v>
      </c>
      <c r="B168" s="19" t="s">
        <v>167</v>
      </c>
      <c r="C168" s="20">
        <v>46311</v>
      </c>
      <c r="D168" s="42" t="s">
        <v>288</v>
      </c>
      <c r="E168" s="42" t="s">
        <v>289</v>
      </c>
      <c r="F168" s="19" t="s">
        <v>81</v>
      </c>
      <c r="G168" s="19" t="s">
        <v>337</v>
      </c>
      <c r="H168" s="21" t="s">
        <v>338</v>
      </c>
      <c r="I168" s="21" t="s">
        <v>339</v>
      </c>
      <c r="J168" s="22">
        <v>1</v>
      </c>
      <c r="K168" s="24"/>
      <c r="L168" s="25" t="s">
        <v>76</v>
      </c>
      <c r="M168" s="18" t="str">
        <f t="shared" si="3"/>
        <v/>
      </c>
    </row>
    <row r="169" spans="1:13" ht="30" customHeight="1" x14ac:dyDescent="0.3">
      <c r="A169" s="19">
        <v>136</v>
      </c>
      <c r="B169" s="19" t="s">
        <v>167</v>
      </c>
      <c r="C169" s="20">
        <v>46315</v>
      </c>
      <c r="D169" s="42" t="s">
        <v>288</v>
      </c>
      <c r="E169" s="42" t="s">
        <v>289</v>
      </c>
      <c r="F169" s="19" t="s">
        <v>81</v>
      </c>
      <c r="G169" s="19" t="s">
        <v>337</v>
      </c>
      <c r="H169" s="21" t="s">
        <v>338</v>
      </c>
      <c r="I169" s="21" t="s">
        <v>339</v>
      </c>
      <c r="J169" s="22">
        <v>1</v>
      </c>
      <c r="K169" s="24"/>
      <c r="L169" s="25" t="s">
        <v>76</v>
      </c>
      <c r="M169" s="18" t="str">
        <f t="shared" si="3"/>
        <v/>
      </c>
    </row>
    <row r="170" spans="1:13" ht="30" customHeight="1" x14ac:dyDescent="0.3">
      <c r="A170" s="19">
        <v>138</v>
      </c>
      <c r="B170" s="19" t="s">
        <v>167</v>
      </c>
      <c r="C170" s="20">
        <v>46315</v>
      </c>
      <c r="D170" s="23" t="s">
        <v>5</v>
      </c>
      <c r="E170" s="23" t="s">
        <v>134</v>
      </c>
      <c r="F170" s="19" t="s">
        <v>81</v>
      </c>
      <c r="G170" s="19" t="s">
        <v>345</v>
      </c>
      <c r="H170" s="21" t="s">
        <v>346</v>
      </c>
      <c r="I170" s="21" t="s">
        <v>347</v>
      </c>
      <c r="J170" s="22">
        <v>1</v>
      </c>
      <c r="K170" s="24"/>
      <c r="L170" s="25" t="s">
        <v>76</v>
      </c>
      <c r="M170" s="18" t="str">
        <f t="shared" si="3"/>
        <v/>
      </c>
    </row>
    <row r="171" spans="1:13" ht="30" customHeight="1" x14ac:dyDescent="0.3">
      <c r="A171" s="19">
        <v>145</v>
      </c>
      <c r="B171" s="19" t="s">
        <v>167</v>
      </c>
      <c r="C171" s="20">
        <v>46316</v>
      </c>
      <c r="D171" s="42" t="s">
        <v>288</v>
      </c>
      <c r="E171" s="42" t="s">
        <v>289</v>
      </c>
      <c r="F171" s="19" t="s">
        <v>81</v>
      </c>
      <c r="G171" s="19" t="s">
        <v>337</v>
      </c>
      <c r="H171" s="21" t="s">
        <v>338</v>
      </c>
      <c r="I171" s="21" t="s">
        <v>339</v>
      </c>
      <c r="J171" s="22">
        <v>1</v>
      </c>
      <c r="K171" s="24"/>
      <c r="L171" s="25" t="s">
        <v>76</v>
      </c>
      <c r="M171" s="18" t="str">
        <f t="shared" si="3"/>
        <v/>
      </c>
    </row>
    <row r="172" spans="1:13" ht="30" customHeight="1" x14ac:dyDescent="0.3">
      <c r="A172" s="19">
        <v>154</v>
      </c>
      <c r="B172" s="19" t="s">
        <v>167</v>
      </c>
      <c r="C172" s="20">
        <v>46318</v>
      </c>
      <c r="D172" s="42" t="s">
        <v>288</v>
      </c>
      <c r="E172" s="42" t="s">
        <v>289</v>
      </c>
      <c r="F172" s="19" t="s">
        <v>81</v>
      </c>
      <c r="G172" s="19" t="s">
        <v>337</v>
      </c>
      <c r="H172" s="21" t="s">
        <v>338</v>
      </c>
      <c r="I172" s="21" t="s">
        <v>339</v>
      </c>
      <c r="J172" s="22">
        <v>1</v>
      </c>
      <c r="K172" s="24"/>
      <c r="L172" s="25" t="s">
        <v>76</v>
      </c>
      <c r="M172" s="18" t="str">
        <f t="shared" si="3"/>
        <v/>
      </c>
    </row>
    <row r="173" spans="1:13" ht="30" customHeight="1" x14ac:dyDescent="0.3">
      <c r="A173" s="19">
        <v>157</v>
      </c>
      <c r="B173" s="19" t="s">
        <v>167</v>
      </c>
      <c r="C173" s="20">
        <v>46318</v>
      </c>
      <c r="D173" s="23" t="s">
        <v>5</v>
      </c>
      <c r="E173" s="23" t="s">
        <v>134</v>
      </c>
      <c r="F173" s="19" t="s">
        <v>81</v>
      </c>
      <c r="G173" s="19" t="s">
        <v>345</v>
      </c>
      <c r="H173" s="21" t="s">
        <v>346</v>
      </c>
      <c r="I173" s="21" t="s">
        <v>347</v>
      </c>
      <c r="J173" s="22">
        <v>0.25</v>
      </c>
      <c r="K173" s="24"/>
      <c r="L173" s="25" t="s">
        <v>76</v>
      </c>
      <c r="M173" s="18" t="str">
        <f t="shared" si="3"/>
        <v/>
      </c>
    </row>
    <row r="174" spans="1:13" ht="30" customHeight="1" x14ac:dyDescent="0.3">
      <c r="A174" s="19">
        <v>162</v>
      </c>
      <c r="B174" s="19" t="s">
        <v>167</v>
      </c>
      <c r="C174" s="20">
        <v>46321</v>
      </c>
      <c r="D174" s="42" t="s">
        <v>288</v>
      </c>
      <c r="E174" s="42" t="s">
        <v>289</v>
      </c>
      <c r="F174" s="19" t="s">
        <v>81</v>
      </c>
      <c r="G174" s="19" t="s">
        <v>337</v>
      </c>
      <c r="H174" s="21" t="s">
        <v>338</v>
      </c>
      <c r="I174" s="21" t="s">
        <v>339</v>
      </c>
      <c r="J174" s="22">
        <v>1</v>
      </c>
      <c r="K174" s="24"/>
      <c r="L174" s="25" t="s">
        <v>76</v>
      </c>
      <c r="M174" s="18" t="str">
        <f t="shared" si="3"/>
        <v/>
      </c>
    </row>
    <row r="175" spans="1:13" ht="30" customHeight="1" x14ac:dyDescent="0.3">
      <c r="A175" s="19">
        <v>165</v>
      </c>
      <c r="B175" s="19" t="s">
        <v>167</v>
      </c>
      <c r="C175" s="20">
        <v>46321</v>
      </c>
      <c r="D175" s="23" t="s">
        <v>5</v>
      </c>
      <c r="E175" s="23" t="s">
        <v>134</v>
      </c>
      <c r="F175" s="19" t="s">
        <v>81</v>
      </c>
      <c r="G175" s="19" t="s">
        <v>345</v>
      </c>
      <c r="H175" s="21" t="s">
        <v>346</v>
      </c>
      <c r="I175" s="21" t="s">
        <v>347</v>
      </c>
      <c r="J175" s="22">
        <v>0.75</v>
      </c>
      <c r="K175" s="24"/>
      <c r="L175" s="25" t="s">
        <v>76</v>
      </c>
      <c r="M175" s="18" t="str">
        <f t="shared" si="3"/>
        <v/>
      </c>
    </row>
    <row r="176" spans="1:13" ht="30" customHeight="1" x14ac:dyDescent="0.3">
      <c r="A176" s="19">
        <v>164</v>
      </c>
      <c r="B176" s="19" t="s">
        <v>167</v>
      </c>
      <c r="C176" s="20">
        <v>46321</v>
      </c>
      <c r="D176" s="42" t="s">
        <v>288</v>
      </c>
      <c r="E176" s="42" t="s">
        <v>289</v>
      </c>
      <c r="F176" s="19" t="s">
        <v>81</v>
      </c>
      <c r="G176" s="19" t="s">
        <v>349</v>
      </c>
      <c r="H176" s="21" t="s">
        <v>362</v>
      </c>
      <c r="I176" s="21" t="s">
        <v>351</v>
      </c>
      <c r="J176" s="22">
        <v>4</v>
      </c>
      <c r="K176" s="24"/>
      <c r="L176" s="25" t="s">
        <v>76</v>
      </c>
      <c r="M176" s="18" t="str">
        <f t="shared" si="3"/>
        <v/>
      </c>
    </row>
    <row r="177" spans="1:13" ht="30" customHeight="1" x14ac:dyDescent="0.3">
      <c r="A177" s="26">
        <v>176</v>
      </c>
      <c r="B177" s="33" t="s">
        <v>170</v>
      </c>
      <c r="C177" s="27">
        <v>46322</v>
      </c>
      <c r="D177" s="28" t="s">
        <v>6</v>
      </c>
      <c r="E177" s="28" t="s">
        <v>138</v>
      </c>
      <c r="F177" s="33" t="s">
        <v>34</v>
      </c>
      <c r="G177" s="33" t="s">
        <v>282</v>
      </c>
      <c r="H177" s="29" t="s">
        <v>293</v>
      </c>
      <c r="I177" s="29" t="s">
        <v>284</v>
      </c>
      <c r="J177" s="30">
        <v>1.75</v>
      </c>
      <c r="K177" s="31"/>
      <c r="L177" s="32" t="s">
        <v>76</v>
      </c>
      <c r="M177" s="18" t="str">
        <f t="shared" si="3"/>
        <v/>
      </c>
    </row>
    <row r="178" spans="1:13" ht="30" customHeight="1" x14ac:dyDescent="0.3">
      <c r="A178" s="19">
        <v>183</v>
      </c>
      <c r="B178" s="19" t="s">
        <v>170</v>
      </c>
      <c r="C178" s="20">
        <v>46323</v>
      </c>
      <c r="D178" s="23" t="s">
        <v>6</v>
      </c>
      <c r="E178" s="23" t="s">
        <v>138</v>
      </c>
      <c r="F178" s="19" t="s">
        <v>34</v>
      </c>
      <c r="G178" s="19" t="s">
        <v>282</v>
      </c>
      <c r="H178" s="21" t="s">
        <v>293</v>
      </c>
      <c r="I178" s="21" t="s">
        <v>284</v>
      </c>
      <c r="J178" s="22">
        <v>0.25</v>
      </c>
      <c r="K178" s="24"/>
      <c r="L178" s="25" t="s">
        <v>76</v>
      </c>
      <c r="M178" s="18" t="str">
        <f t="shared" si="3"/>
        <v/>
      </c>
    </row>
    <row r="179" spans="1:13" ht="30" customHeight="1" x14ac:dyDescent="0.3">
      <c r="A179" s="34">
        <v>172</v>
      </c>
      <c r="B179" s="41" t="s">
        <v>170</v>
      </c>
      <c r="C179" s="35">
        <v>46322</v>
      </c>
      <c r="D179" s="36" t="s">
        <v>5</v>
      </c>
      <c r="E179" s="36" t="s">
        <v>134</v>
      </c>
      <c r="F179" s="41" t="s">
        <v>38</v>
      </c>
      <c r="G179" s="41" t="s">
        <v>40</v>
      </c>
      <c r="H179" s="37" t="s">
        <v>294</v>
      </c>
      <c r="I179" s="37" t="s">
        <v>295</v>
      </c>
      <c r="J179" s="38">
        <v>1.75</v>
      </c>
      <c r="K179" s="39"/>
      <c r="L179" s="40" t="s">
        <v>76</v>
      </c>
      <c r="M179" s="18" t="str">
        <f t="shared" si="3"/>
        <v/>
      </c>
    </row>
    <row r="180" spans="1:13" ht="30" customHeight="1" x14ac:dyDescent="0.3">
      <c r="A180" s="19">
        <v>174</v>
      </c>
      <c r="B180" s="19" t="s">
        <v>170</v>
      </c>
      <c r="C180" s="20">
        <v>46322</v>
      </c>
      <c r="D180" s="23" t="s">
        <v>4</v>
      </c>
      <c r="E180" s="23" t="s">
        <v>137</v>
      </c>
      <c r="F180" s="19" t="s">
        <v>38</v>
      </c>
      <c r="G180" s="19" t="s">
        <v>40</v>
      </c>
      <c r="H180" s="21" t="s">
        <v>294</v>
      </c>
      <c r="I180" s="21" t="s">
        <v>295</v>
      </c>
      <c r="J180" s="22">
        <v>1</v>
      </c>
      <c r="K180" s="24"/>
      <c r="L180" s="25" t="s">
        <v>76</v>
      </c>
      <c r="M180" s="18" t="str">
        <f t="shared" si="3"/>
        <v/>
      </c>
    </row>
    <row r="181" spans="1:13" ht="30" customHeight="1" x14ac:dyDescent="0.3">
      <c r="A181" s="19">
        <v>173</v>
      </c>
      <c r="B181" s="19" t="s">
        <v>170</v>
      </c>
      <c r="C181" s="20">
        <v>46322</v>
      </c>
      <c r="D181" s="23" t="s">
        <v>3</v>
      </c>
      <c r="E181" s="23" t="s">
        <v>136</v>
      </c>
      <c r="F181" s="19" t="s">
        <v>38</v>
      </c>
      <c r="G181" s="19" t="s">
        <v>40</v>
      </c>
      <c r="H181" s="21" t="s">
        <v>294</v>
      </c>
      <c r="I181" s="21" t="s">
        <v>295</v>
      </c>
      <c r="J181" s="22">
        <v>1.75</v>
      </c>
      <c r="K181" s="24"/>
      <c r="L181" s="25" t="s">
        <v>76</v>
      </c>
      <c r="M181" s="18" t="str">
        <f t="shared" si="3"/>
        <v/>
      </c>
    </row>
    <row r="182" spans="1:13" ht="30" customHeight="1" x14ac:dyDescent="0.3">
      <c r="A182" s="19">
        <v>178</v>
      </c>
      <c r="B182" s="19" t="s">
        <v>170</v>
      </c>
      <c r="C182" s="20">
        <v>46323</v>
      </c>
      <c r="D182" s="23" t="s">
        <v>5</v>
      </c>
      <c r="E182" s="23" t="s">
        <v>134</v>
      </c>
      <c r="F182" s="19" t="s">
        <v>38</v>
      </c>
      <c r="G182" s="19" t="s">
        <v>40</v>
      </c>
      <c r="H182" s="21" t="s">
        <v>294</v>
      </c>
      <c r="I182" s="21" t="s">
        <v>295</v>
      </c>
      <c r="J182" s="22">
        <v>0.25</v>
      </c>
      <c r="K182" s="24"/>
      <c r="L182" s="25" t="s">
        <v>76</v>
      </c>
      <c r="M182" s="18" t="str">
        <f t="shared" si="3"/>
        <v/>
      </c>
    </row>
    <row r="183" spans="1:13" ht="30" customHeight="1" x14ac:dyDescent="0.3">
      <c r="A183" s="19">
        <v>184</v>
      </c>
      <c r="B183" s="19" t="s">
        <v>170</v>
      </c>
      <c r="C183" s="20">
        <v>46323</v>
      </c>
      <c r="D183" s="23" t="s">
        <v>6</v>
      </c>
      <c r="E183" s="23" t="s">
        <v>138</v>
      </c>
      <c r="F183" s="19" t="s">
        <v>38</v>
      </c>
      <c r="G183" s="19" t="s">
        <v>40</v>
      </c>
      <c r="H183" s="21" t="s">
        <v>294</v>
      </c>
      <c r="I183" s="21" t="s">
        <v>295</v>
      </c>
      <c r="J183" s="22">
        <v>1</v>
      </c>
      <c r="K183" s="24"/>
      <c r="L183" s="25" t="s">
        <v>76</v>
      </c>
      <c r="M183" s="18" t="str">
        <f t="shared" si="3"/>
        <v/>
      </c>
    </row>
    <row r="184" spans="1:13" ht="30" customHeight="1" x14ac:dyDescent="0.3">
      <c r="A184" s="19">
        <v>180</v>
      </c>
      <c r="B184" s="19" t="s">
        <v>170</v>
      </c>
      <c r="C184" s="20">
        <v>46323</v>
      </c>
      <c r="D184" s="23" t="s">
        <v>3</v>
      </c>
      <c r="E184" s="23" t="s">
        <v>136</v>
      </c>
      <c r="F184" s="19" t="s">
        <v>38</v>
      </c>
      <c r="G184" s="19" t="s">
        <v>40</v>
      </c>
      <c r="H184" s="21" t="s">
        <v>294</v>
      </c>
      <c r="I184" s="21" t="s">
        <v>295</v>
      </c>
      <c r="J184" s="22">
        <v>0.25</v>
      </c>
      <c r="K184" s="24"/>
      <c r="L184" s="25" t="s">
        <v>76</v>
      </c>
      <c r="M184" s="18" t="str">
        <f t="shared" si="3"/>
        <v/>
      </c>
    </row>
    <row r="185" spans="1:13" ht="30" customHeight="1" x14ac:dyDescent="0.3">
      <c r="A185" s="34">
        <v>179</v>
      </c>
      <c r="B185" s="41" t="s">
        <v>170</v>
      </c>
      <c r="C185" s="35">
        <v>46323</v>
      </c>
      <c r="D185" s="36" t="s">
        <v>5</v>
      </c>
      <c r="E185" s="36" t="s">
        <v>134</v>
      </c>
      <c r="F185" s="41" t="s">
        <v>42</v>
      </c>
      <c r="G185" s="41" t="s">
        <v>297</v>
      </c>
      <c r="H185" s="37" t="s">
        <v>300</v>
      </c>
      <c r="I185" s="37" t="s">
        <v>301</v>
      </c>
      <c r="J185" s="38">
        <v>2</v>
      </c>
      <c r="K185" s="39"/>
      <c r="L185" s="40" t="s">
        <v>76</v>
      </c>
      <c r="M185" s="18" t="str">
        <f t="shared" si="3"/>
        <v/>
      </c>
    </row>
    <row r="186" spans="1:13" ht="30" customHeight="1" x14ac:dyDescent="0.3">
      <c r="A186" s="19">
        <v>187</v>
      </c>
      <c r="B186" s="19" t="s">
        <v>170</v>
      </c>
      <c r="C186" s="20">
        <v>46324</v>
      </c>
      <c r="D186" s="23" t="s">
        <v>5</v>
      </c>
      <c r="E186" s="23" t="s">
        <v>134</v>
      </c>
      <c r="F186" s="19" t="s">
        <v>42</v>
      </c>
      <c r="G186" s="19" t="s">
        <v>297</v>
      </c>
      <c r="H186" s="21" t="s">
        <v>300</v>
      </c>
      <c r="I186" s="21" t="s">
        <v>301</v>
      </c>
      <c r="J186" s="22">
        <v>1</v>
      </c>
      <c r="K186" s="24"/>
      <c r="L186" s="25" t="s">
        <v>76</v>
      </c>
      <c r="M186" s="18" t="str">
        <f t="shared" si="3"/>
        <v/>
      </c>
    </row>
    <row r="187" spans="1:13" ht="30" customHeight="1" x14ac:dyDescent="0.3">
      <c r="A187" s="34">
        <v>175</v>
      </c>
      <c r="B187" s="41" t="s">
        <v>170</v>
      </c>
      <c r="C187" s="35">
        <v>46322</v>
      </c>
      <c r="D187" s="36" t="s">
        <v>4</v>
      </c>
      <c r="E187" s="36" t="s">
        <v>137</v>
      </c>
      <c r="F187" s="41" t="s">
        <v>46</v>
      </c>
      <c r="G187" s="41" t="s">
        <v>48</v>
      </c>
      <c r="H187" s="37" t="s">
        <v>305</v>
      </c>
      <c r="I187" s="37" t="s">
        <v>306</v>
      </c>
      <c r="J187" s="38">
        <v>0.75</v>
      </c>
      <c r="K187" s="39"/>
      <c r="L187" s="40" t="s">
        <v>76</v>
      </c>
      <c r="M187" s="18" t="str">
        <f t="shared" si="3"/>
        <v/>
      </c>
    </row>
    <row r="188" spans="1:13" ht="30" customHeight="1" x14ac:dyDescent="0.3">
      <c r="A188" s="19">
        <v>185</v>
      </c>
      <c r="B188" s="19" t="s">
        <v>170</v>
      </c>
      <c r="C188" s="20">
        <v>46323</v>
      </c>
      <c r="D188" s="23" t="s">
        <v>6</v>
      </c>
      <c r="E188" s="23" t="s">
        <v>138</v>
      </c>
      <c r="F188" s="19" t="s">
        <v>46</v>
      </c>
      <c r="G188" s="19" t="s">
        <v>48</v>
      </c>
      <c r="H188" s="21" t="s">
        <v>305</v>
      </c>
      <c r="I188" s="21" t="s">
        <v>306</v>
      </c>
      <c r="J188" s="22">
        <v>1</v>
      </c>
      <c r="K188" s="24"/>
      <c r="L188" s="25" t="s">
        <v>76</v>
      </c>
      <c r="M188" s="18" t="str">
        <f t="shared" si="3"/>
        <v/>
      </c>
    </row>
    <row r="189" spans="1:13" ht="30" customHeight="1" x14ac:dyDescent="0.3">
      <c r="A189" s="19">
        <v>182</v>
      </c>
      <c r="B189" s="19" t="s">
        <v>170</v>
      </c>
      <c r="C189" s="20">
        <v>46323</v>
      </c>
      <c r="D189" s="23" t="s">
        <v>4</v>
      </c>
      <c r="E189" s="23" t="s">
        <v>137</v>
      </c>
      <c r="F189" s="19" t="s">
        <v>46</v>
      </c>
      <c r="G189" s="19" t="s">
        <v>48</v>
      </c>
      <c r="H189" s="21" t="s">
        <v>305</v>
      </c>
      <c r="I189" s="21" t="s">
        <v>306</v>
      </c>
      <c r="J189" s="22">
        <v>2.25</v>
      </c>
      <c r="K189" s="24"/>
      <c r="L189" s="25" t="s">
        <v>76</v>
      </c>
      <c r="M189" s="18" t="str">
        <f t="shared" si="3"/>
        <v/>
      </c>
    </row>
    <row r="190" spans="1:13" ht="30" customHeight="1" x14ac:dyDescent="0.3">
      <c r="A190" s="19">
        <v>192</v>
      </c>
      <c r="B190" s="19" t="s">
        <v>170</v>
      </c>
      <c r="C190" s="20">
        <v>46324</v>
      </c>
      <c r="D190" s="23" t="s">
        <v>6</v>
      </c>
      <c r="E190" s="23" t="s">
        <v>138</v>
      </c>
      <c r="F190" s="19" t="s">
        <v>46</v>
      </c>
      <c r="G190" s="19" t="s">
        <v>48</v>
      </c>
      <c r="H190" s="21" t="s">
        <v>305</v>
      </c>
      <c r="I190" s="21" t="s">
        <v>306</v>
      </c>
      <c r="J190" s="22">
        <v>1.5</v>
      </c>
      <c r="K190" s="24"/>
      <c r="L190" s="25" t="s">
        <v>76</v>
      </c>
      <c r="M190" s="18" t="str">
        <f t="shared" si="3"/>
        <v/>
      </c>
    </row>
    <row r="191" spans="1:13" ht="30" customHeight="1" x14ac:dyDescent="0.3">
      <c r="A191" s="19">
        <v>191</v>
      </c>
      <c r="B191" s="19" t="s">
        <v>170</v>
      </c>
      <c r="C191" s="20">
        <v>46324</v>
      </c>
      <c r="D191" s="23" t="s">
        <v>4</v>
      </c>
      <c r="E191" s="23" t="s">
        <v>137</v>
      </c>
      <c r="F191" s="19" t="s">
        <v>46</v>
      </c>
      <c r="G191" s="19" t="s">
        <v>48</v>
      </c>
      <c r="H191" s="21" t="s">
        <v>305</v>
      </c>
      <c r="I191" s="21" t="s">
        <v>306</v>
      </c>
      <c r="J191" s="22">
        <v>2.25</v>
      </c>
      <c r="K191" s="24"/>
      <c r="L191" s="25" t="s">
        <v>76</v>
      </c>
      <c r="M191" s="18" t="str">
        <f t="shared" si="3"/>
        <v/>
      </c>
    </row>
    <row r="192" spans="1:13" ht="30" customHeight="1" x14ac:dyDescent="0.3">
      <c r="A192" s="19">
        <v>197</v>
      </c>
      <c r="B192" s="19" t="s">
        <v>170</v>
      </c>
      <c r="C192" s="20">
        <v>46325</v>
      </c>
      <c r="D192" s="23" t="s">
        <v>4</v>
      </c>
      <c r="E192" s="23" t="s">
        <v>137</v>
      </c>
      <c r="F192" s="19" t="s">
        <v>46</v>
      </c>
      <c r="G192" s="19" t="s">
        <v>48</v>
      </c>
      <c r="H192" s="21" t="s">
        <v>305</v>
      </c>
      <c r="I192" s="21" t="s">
        <v>306</v>
      </c>
      <c r="J192" s="22">
        <v>0.25</v>
      </c>
      <c r="K192" s="24"/>
      <c r="L192" s="25" t="s">
        <v>76</v>
      </c>
      <c r="M192" s="18" t="str">
        <f t="shared" si="3"/>
        <v/>
      </c>
    </row>
    <row r="193" spans="1:13" ht="15" customHeight="1" x14ac:dyDescent="0.3">
      <c r="A193" s="34">
        <v>181</v>
      </c>
      <c r="B193" s="41" t="s">
        <v>170</v>
      </c>
      <c r="C193" s="35">
        <v>46323</v>
      </c>
      <c r="D193" s="36" t="s">
        <v>3</v>
      </c>
      <c r="E193" s="36" t="s">
        <v>136</v>
      </c>
      <c r="F193" s="41" t="s">
        <v>49</v>
      </c>
      <c r="G193" s="41" t="s">
        <v>307</v>
      </c>
      <c r="H193" s="37" t="s">
        <v>308</v>
      </c>
      <c r="I193" s="37" t="s">
        <v>309</v>
      </c>
      <c r="J193" s="38">
        <v>2</v>
      </c>
      <c r="K193" s="39"/>
      <c r="L193" s="40" t="s">
        <v>76</v>
      </c>
      <c r="M193" s="18" t="str">
        <f t="shared" si="3"/>
        <v/>
      </c>
    </row>
    <row r="194" spans="1:13" ht="15" customHeight="1" x14ac:dyDescent="0.3">
      <c r="A194" s="19">
        <v>189</v>
      </c>
      <c r="B194" s="19" t="s">
        <v>170</v>
      </c>
      <c r="C194" s="20">
        <v>46324</v>
      </c>
      <c r="D194" s="23" t="s">
        <v>3</v>
      </c>
      <c r="E194" s="23" t="s">
        <v>136</v>
      </c>
      <c r="F194" s="19" t="s">
        <v>49</v>
      </c>
      <c r="G194" s="19" t="s">
        <v>307</v>
      </c>
      <c r="H194" s="21" t="s">
        <v>308</v>
      </c>
      <c r="I194" s="21" t="s">
        <v>309</v>
      </c>
      <c r="J194" s="22">
        <v>2</v>
      </c>
      <c r="K194" s="24"/>
      <c r="L194" s="25" t="s">
        <v>76</v>
      </c>
      <c r="M194" s="18" t="str">
        <f t="shared" ref="M194:M257" si="4">IF(AND(C194&lt;=FechaCorte,NOT(ISNUMBER(K194))),"Por confirmar","")</f>
        <v/>
      </c>
    </row>
    <row r="195" spans="1:13" ht="30" customHeight="1" x14ac:dyDescent="0.3">
      <c r="A195" s="34">
        <v>188</v>
      </c>
      <c r="B195" s="41" t="s">
        <v>170</v>
      </c>
      <c r="C195" s="35">
        <v>46324</v>
      </c>
      <c r="D195" s="36" t="s">
        <v>5</v>
      </c>
      <c r="E195" s="36" t="s">
        <v>134</v>
      </c>
      <c r="F195" s="41" t="s">
        <v>53</v>
      </c>
      <c r="G195" s="41" t="s">
        <v>310</v>
      </c>
      <c r="H195" s="37" t="s">
        <v>311</v>
      </c>
      <c r="I195" s="37" t="s">
        <v>312</v>
      </c>
      <c r="J195" s="38">
        <v>1.25</v>
      </c>
      <c r="K195" s="39"/>
      <c r="L195" s="40" t="s">
        <v>76</v>
      </c>
      <c r="M195" s="18" t="str">
        <f t="shared" si="4"/>
        <v/>
      </c>
    </row>
    <row r="196" spans="1:13" ht="15" customHeight="1" x14ac:dyDescent="0.3">
      <c r="A196" s="19">
        <v>190</v>
      </c>
      <c r="B196" s="19" t="s">
        <v>170</v>
      </c>
      <c r="C196" s="20">
        <v>46324</v>
      </c>
      <c r="D196" s="23" t="s">
        <v>3</v>
      </c>
      <c r="E196" s="23" t="s">
        <v>136</v>
      </c>
      <c r="F196" s="19" t="s">
        <v>53</v>
      </c>
      <c r="G196" s="19" t="s">
        <v>310</v>
      </c>
      <c r="H196" s="21" t="s">
        <v>311</v>
      </c>
      <c r="I196" s="21" t="s">
        <v>312</v>
      </c>
      <c r="J196" s="22">
        <v>0.25</v>
      </c>
      <c r="K196" s="24"/>
      <c r="L196" s="25" t="s">
        <v>76</v>
      </c>
      <c r="M196" s="18" t="str">
        <f t="shared" si="4"/>
        <v/>
      </c>
    </row>
    <row r="197" spans="1:13" ht="30" customHeight="1" x14ac:dyDescent="0.3">
      <c r="A197" s="19">
        <v>193</v>
      </c>
      <c r="B197" s="19" t="s">
        <v>170</v>
      </c>
      <c r="C197" s="20">
        <v>46324</v>
      </c>
      <c r="D197" s="23" t="s">
        <v>6</v>
      </c>
      <c r="E197" s="23" t="s">
        <v>138</v>
      </c>
      <c r="F197" s="19" t="s">
        <v>53</v>
      </c>
      <c r="G197" s="19" t="s">
        <v>313</v>
      </c>
      <c r="H197" s="21" t="s">
        <v>314</v>
      </c>
      <c r="I197" s="21" t="s">
        <v>312</v>
      </c>
      <c r="J197" s="22">
        <v>0.75</v>
      </c>
      <c r="K197" s="24"/>
      <c r="L197" s="25" t="s">
        <v>76</v>
      </c>
      <c r="M197" s="18" t="str">
        <f t="shared" si="4"/>
        <v/>
      </c>
    </row>
    <row r="198" spans="1:13" ht="30" customHeight="1" x14ac:dyDescent="0.3">
      <c r="A198" s="19">
        <v>195</v>
      </c>
      <c r="B198" s="19" t="s">
        <v>170</v>
      </c>
      <c r="C198" s="20">
        <v>46325</v>
      </c>
      <c r="D198" s="23" t="s">
        <v>5</v>
      </c>
      <c r="E198" s="23" t="s">
        <v>134</v>
      </c>
      <c r="F198" s="19" t="s">
        <v>53</v>
      </c>
      <c r="G198" s="19" t="s">
        <v>310</v>
      </c>
      <c r="H198" s="21" t="s">
        <v>311</v>
      </c>
      <c r="I198" s="21" t="s">
        <v>312</v>
      </c>
      <c r="J198" s="22">
        <v>1</v>
      </c>
      <c r="K198" s="24"/>
      <c r="L198" s="25" t="s">
        <v>76</v>
      </c>
      <c r="M198" s="18" t="str">
        <f t="shared" si="4"/>
        <v/>
      </c>
    </row>
    <row r="199" spans="1:13" ht="15" customHeight="1" x14ac:dyDescent="0.3">
      <c r="A199" s="19">
        <v>198</v>
      </c>
      <c r="B199" s="19" t="s">
        <v>170</v>
      </c>
      <c r="C199" s="20">
        <v>46325</v>
      </c>
      <c r="D199" s="23" t="s">
        <v>4</v>
      </c>
      <c r="E199" s="23" t="s">
        <v>137</v>
      </c>
      <c r="F199" s="19" t="s">
        <v>53</v>
      </c>
      <c r="G199" s="19" t="s">
        <v>310</v>
      </c>
      <c r="H199" s="21" t="s">
        <v>311</v>
      </c>
      <c r="I199" s="21" t="s">
        <v>312</v>
      </c>
      <c r="J199" s="22">
        <v>1.75</v>
      </c>
      <c r="K199" s="24"/>
      <c r="L199" s="25" t="s">
        <v>76</v>
      </c>
      <c r="M199" s="18" t="str">
        <f t="shared" si="4"/>
        <v/>
      </c>
    </row>
    <row r="200" spans="1:13" ht="15" customHeight="1" x14ac:dyDescent="0.3">
      <c r="A200" s="19">
        <v>196</v>
      </c>
      <c r="B200" s="19" t="s">
        <v>170</v>
      </c>
      <c r="C200" s="20">
        <v>46325</v>
      </c>
      <c r="D200" s="23" t="s">
        <v>3</v>
      </c>
      <c r="E200" s="23" t="s">
        <v>136</v>
      </c>
      <c r="F200" s="19" t="s">
        <v>53</v>
      </c>
      <c r="G200" s="19" t="s">
        <v>310</v>
      </c>
      <c r="H200" s="21" t="s">
        <v>311</v>
      </c>
      <c r="I200" s="21" t="s">
        <v>312</v>
      </c>
      <c r="J200" s="22">
        <v>2</v>
      </c>
      <c r="K200" s="24"/>
      <c r="L200" s="25" t="s">
        <v>76</v>
      </c>
      <c r="M200" s="18" t="str">
        <f t="shared" si="4"/>
        <v/>
      </c>
    </row>
    <row r="201" spans="1:13" ht="30" customHeight="1" x14ac:dyDescent="0.3">
      <c r="A201" s="19">
        <v>199</v>
      </c>
      <c r="B201" s="19" t="s">
        <v>170</v>
      </c>
      <c r="C201" s="20">
        <v>46325</v>
      </c>
      <c r="D201" s="23" t="s">
        <v>6</v>
      </c>
      <c r="E201" s="23" t="s">
        <v>138</v>
      </c>
      <c r="F201" s="19" t="s">
        <v>53</v>
      </c>
      <c r="G201" s="19" t="s">
        <v>313</v>
      </c>
      <c r="H201" s="21" t="s">
        <v>314</v>
      </c>
      <c r="I201" s="21" t="s">
        <v>312</v>
      </c>
      <c r="J201" s="22">
        <v>2</v>
      </c>
      <c r="K201" s="24"/>
      <c r="L201" s="25" t="s">
        <v>76</v>
      </c>
      <c r="M201" s="18" t="str">
        <f t="shared" si="4"/>
        <v/>
      </c>
    </row>
    <row r="202" spans="1:13" ht="30" customHeight="1" x14ac:dyDescent="0.3">
      <c r="A202" s="19">
        <v>201</v>
      </c>
      <c r="B202" s="19" t="s">
        <v>170</v>
      </c>
      <c r="C202" s="20">
        <v>46328</v>
      </c>
      <c r="D202" s="23" t="s">
        <v>5</v>
      </c>
      <c r="E202" s="23" t="s">
        <v>134</v>
      </c>
      <c r="F202" s="19" t="s">
        <v>53</v>
      </c>
      <c r="G202" s="19" t="s">
        <v>310</v>
      </c>
      <c r="H202" s="21" t="s">
        <v>311</v>
      </c>
      <c r="I202" s="21" t="s">
        <v>312</v>
      </c>
      <c r="J202" s="22">
        <v>2.25</v>
      </c>
      <c r="K202" s="24"/>
      <c r="L202" s="25" t="s">
        <v>76</v>
      </c>
      <c r="M202" s="18" t="str">
        <f t="shared" si="4"/>
        <v/>
      </c>
    </row>
    <row r="203" spans="1:13" ht="15" customHeight="1" x14ac:dyDescent="0.3">
      <c r="A203" s="19">
        <v>204</v>
      </c>
      <c r="B203" s="19" t="s">
        <v>170</v>
      </c>
      <c r="C203" s="20">
        <v>46328</v>
      </c>
      <c r="D203" s="23" t="s">
        <v>4</v>
      </c>
      <c r="E203" s="23" t="s">
        <v>137</v>
      </c>
      <c r="F203" s="19" t="s">
        <v>53</v>
      </c>
      <c r="G203" s="19" t="s">
        <v>310</v>
      </c>
      <c r="H203" s="21" t="s">
        <v>311</v>
      </c>
      <c r="I203" s="21" t="s">
        <v>312</v>
      </c>
      <c r="J203" s="22">
        <v>2.25</v>
      </c>
      <c r="K203" s="24"/>
      <c r="L203" s="25" t="s">
        <v>76</v>
      </c>
      <c r="M203" s="18" t="str">
        <f t="shared" si="4"/>
        <v/>
      </c>
    </row>
    <row r="204" spans="1:13" ht="15" customHeight="1" x14ac:dyDescent="0.3">
      <c r="A204" s="19">
        <v>202</v>
      </c>
      <c r="B204" s="19" t="s">
        <v>170</v>
      </c>
      <c r="C204" s="20">
        <v>46328</v>
      </c>
      <c r="D204" s="23" t="s">
        <v>3</v>
      </c>
      <c r="E204" s="23" t="s">
        <v>136</v>
      </c>
      <c r="F204" s="19" t="s">
        <v>53</v>
      </c>
      <c r="G204" s="19" t="s">
        <v>310</v>
      </c>
      <c r="H204" s="21" t="s">
        <v>311</v>
      </c>
      <c r="I204" s="21" t="s">
        <v>312</v>
      </c>
      <c r="J204" s="22">
        <v>1.25</v>
      </c>
      <c r="K204" s="24"/>
      <c r="L204" s="25" t="s">
        <v>76</v>
      </c>
      <c r="M204" s="18" t="str">
        <f t="shared" si="4"/>
        <v/>
      </c>
    </row>
    <row r="205" spans="1:13" ht="30" customHeight="1" x14ac:dyDescent="0.3">
      <c r="A205" s="19">
        <v>205</v>
      </c>
      <c r="B205" s="19" t="s">
        <v>170</v>
      </c>
      <c r="C205" s="20">
        <v>46328</v>
      </c>
      <c r="D205" s="23" t="s">
        <v>6</v>
      </c>
      <c r="E205" s="23" t="s">
        <v>138</v>
      </c>
      <c r="F205" s="19" t="s">
        <v>53</v>
      </c>
      <c r="G205" s="19" t="s">
        <v>313</v>
      </c>
      <c r="H205" s="21" t="s">
        <v>314</v>
      </c>
      <c r="I205" s="21" t="s">
        <v>312</v>
      </c>
      <c r="J205" s="22">
        <v>2.25</v>
      </c>
      <c r="K205" s="24"/>
      <c r="L205" s="25" t="s">
        <v>76</v>
      </c>
      <c r="M205" s="18" t="str">
        <f t="shared" si="4"/>
        <v/>
      </c>
    </row>
    <row r="206" spans="1:13" ht="30" customHeight="1" x14ac:dyDescent="0.3">
      <c r="A206" s="19">
        <v>207</v>
      </c>
      <c r="B206" s="19" t="s">
        <v>170</v>
      </c>
      <c r="C206" s="20">
        <v>46329</v>
      </c>
      <c r="D206" s="23" t="s">
        <v>5</v>
      </c>
      <c r="E206" s="23" t="s">
        <v>134</v>
      </c>
      <c r="F206" s="19" t="s">
        <v>53</v>
      </c>
      <c r="G206" s="19" t="s">
        <v>310</v>
      </c>
      <c r="H206" s="21" t="s">
        <v>311</v>
      </c>
      <c r="I206" s="21" t="s">
        <v>312</v>
      </c>
      <c r="J206" s="22">
        <v>2</v>
      </c>
      <c r="K206" s="24"/>
      <c r="L206" s="25" t="s">
        <v>76</v>
      </c>
      <c r="M206" s="18" t="str">
        <f t="shared" si="4"/>
        <v/>
      </c>
    </row>
    <row r="207" spans="1:13" ht="15" customHeight="1" x14ac:dyDescent="0.3">
      <c r="A207" s="19">
        <v>209</v>
      </c>
      <c r="B207" s="19" t="s">
        <v>170</v>
      </c>
      <c r="C207" s="20">
        <v>46329</v>
      </c>
      <c r="D207" s="23" t="s">
        <v>4</v>
      </c>
      <c r="E207" s="23" t="s">
        <v>137</v>
      </c>
      <c r="F207" s="19" t="s">
        <v>53</v>
      </c>
      <c r="G207" s="19" t="s">
        <v>310</v>
      </c>
      <c r="H207" s="21" t="s">
        <v>311</v>
      </c>
      <c r="I207" s="21" t="s">
        <v>312</v>
      </c>
      <c r="J207" s="22">
        <v>2</v>
      </c>
      <c r="K207" s="24"/>
      <c r="L207" s="25" t="s">
        <v>76</v>
      </c>
      <c r="M207" s="18" t="str">
        <f t="shared" si="4"/>
        <v/>
      </c>
    </row>
    <row r="208" spans="1:13" ht="30" customHeight="1" x14ac:dyDescent="0.3">
      <c r="A208" s="19">
        <v>210</v>
      </c>
      <c r="B208" s="19" t="s">
        <v>170</v>
      </c>
      <c r="C208" s="20">
        <v>46329</v>
      </c>
      <c r="D208" s="23" t="s">
        <v>6</v>
      </c>
      <c r="E208" s="23" t="s">
        <v>138</v>
      </c>
      <c r="F208" s="19" t="s">
        <v>53</v>
      </c>
      <c r="G208" s="19" t="s">
        <v>313</v>
      </c>
      <c r="H208" s="21" t="s">
        <v>314</v>
      </c>
      <c r="I208" s="21" t="s">
        <v>312</v>
      </c>
      <c r="J208" s="22">
        <v>2</v>
      </c>
      <c r="K208" s="24"/>
      <c r="L208" s="25" t="s">
        <v>76</v>
      </c>
      <c r="M208" s="18" t="str">
        <f t="shared" si="4"/>
        <v/>
      </c>
    </row>
    <row r="209" spans="1:13" ht="30" customHeight="1" x14ac:dyDescent="0.3">
      <c r="A209" s="19">
        <v>212</v>
      </c>
      <c r="B209" s="19" t="s">
        <v>170</v>
      </c>
      <c r="C209" s="20">
        <v>46331</v>
      </c>
      <c r="D209" s="23" t="s">
        <v>5</v>
      </c>
      <c r="E209" s="23" t="s">
        <v>134</v>
      </c>
      <c r="F209" s="19" t="s">
        <v>53</v>
      </c>
      <c r="G209" s="19" t="s">
        <v>310</v>
      </c>
      <c r="H209" s="21" t="s">
        <v>311</v>
      </c>
      <c r="I209" s="21" t="s">
        <v>312</v>
      </c>
      <c r="J209" s="22">
        <v>2.25</v>
      </c>
      <c r="K209" s="24"/>
      <c r="L209" s="25" t="s">
        <v>76</v>
      </c>
      <c r="M209" s="18" t="str">
        <f t="shared" si="4"/>
        <v/>
      </c>
    </row>
    <row r="210" spans="1:13" ht="15" customHeight="1" x14ac:dyDescent="0.3">
      <c r="A210" s="19">
        <v>214</v>
      </c>
      <c r="B210" s="19" t="s">
        <v>170</v>
      </c>
      <c r="C210" s="20">
        <v>46331</v>
      </c>
      <c r="D210" s="23" t="s">
        <v>4</v>
      </c>
      <c r="E210" s="23" t="s">
        <v>137</v>
      </c>
      <c r="F210" s="19" t="s">
        <v>53</v>
      </c>
      <c r="G210" s="19" t="s">
        <v>310</v>
      </c>
      <c r="H210" s="21" t="s">
        <v>311</v>
      </c>
      <c r="I210" s="21" t="s">
        <v>312</v>
      </c>
      <c r="J210" s="22">
        <v>2.25</v>
      </c>
      <c r="K210" s="24"/>
      <c r="L210" s="25" t="s">
        <v>76</v>
      </c>
      <c r="M210" s="18" t="str">
        <f t="shared" si="4"/>
        <v/>
      </c>
    </row>
    <row r="211" spans="1:13" ht="30" customHeight="1" x14ac:dyDescent="0.3">
      <c r="A211" s="19">
        <v>215</v>
      </c>
      <c r="B211" s="19" t="s">
        <v>170</v>
      </c>
      <c r="C211" s="20">
        <v>46331</v>
      </c>
      <c r="D211" s="23" t="s">
        <v>6</v>
      </c>
      <c r="E211" s="23" t="s">
        <v>138</v>
      </c>
      <c r="F211" s="19" t="s">
        <v>53</v>
      </c>
      <c r="G211" s="19" t="s">
        <v>313</v>
      </c>
      <c r="H211" s="21" t="s">
        <v>314</v>
      </c>
      <c r="I211" s="21" t="s">
        <v>312</v>
      </c>
      <c r="J211" s="22">
        <v>0.5</v>
      </c>
      <c r="K211" s="24"/>
      <c r="L211" s="25" t="s">
        <v>76</v>
      </c>
      <c r="M211" s="18" t="str">
        <f t="shared" si="4"/>
        <v/>
      </c>
    </row>
    <row r="212" spans="1:13" ht="30" customHeight="1" x14ac:dyDescent="0.3">
      <c r="A212" s="19">
        <v>218</v>
      </c>
      <c r="B212" s="19" t="s">
        <v>170</v>
      </c>
      <c r="C212" s="20">
        <v>46332</v>
      </c>
      <c r="D212" s="23" t="s">
        <v>5</v>
      </c>
      <c r="E212" s="23" t="s">
        <v>134</v>
      </c>
      <c r="F212" s="19" t="s">
        <v>53</v>
      </c>
      <c r="G212" s="19" t="s">
        <v>310</v>
      </c>
      <c r="H212" s="21" t="s">
        <v>311</v>
      </c>
      <c r="I212" s="21" t="s">
        <v>312</v>
      </c>
      <c r="J212" s="22">
        <v>2</v>
      </c>
      <c r="K212" s="24"/>
      <c r="L212" s="25" t="s">
        <v>76</v>
      </c>
      <c r="M212" s="18" t="str">
        <f t="shared" si="4"/>
        <v/>
      </c>
    </row>
    <row r="213" spans="1:13" ht="15" customHeight="1" x14ac:dyDescent="0.3">
      <c r="A213" s="19">
        <v>220</v>
      </c>
      <c r="B213" s="19" t="s">
        <v>170</v>
      </c>
      <c r="C213" s="20">
        <v>46332</v>
      </c>
      <c r="D213" s="23" t="s">
        <v>4</v>
      </c>
      <c r="E213" s="23" t="s">
        <v>137</v>
      </c>
      <c r="F213" s="19" t="s">
        <v>53</v>
      </c>
      <c r="G213" s="19" t="s">
        <v>310</v>
      </c>
      <c r="H213" s="21" t="s">
        <v>311</v>
      </c>
      <c r="I213" s="21" t="s">
        <v>312</v>
      </c>
      <c r="J213" s="22">
        <v>2</v>
      </c>
      <c r="K213" s="24"/>
      <c r="L213" s="25" t="s">
        <v>76</v>
      </c>
      <c r="M213" s="18" t="str">
        <f t="shared" si="4"/>
        <v/>
      </c>
    </row>
    <row r="214" spans="1:13" ht="30" customHeight="1" x14ac:dyDescent="0.3">
      <c r="A214" s="19">
        <v>223</v>
      </c>
      <c r="B214" s="19" t="s">
        <v>170</v>
      </c>
      <c r="C214" s="20">
        <v>46335</v>
      </c>
      <c r="D214" s="23" t="s">
        <v>5</v>
      </c>
      <c r="E214" s="23" t="s">
        <v>134</v>
      </c>
      <c r="F214" s="19" t="s">
        <v>53</v>
      </c>
      <c r="G214" s="19" t="s">
        <v>310</v>
      </c>
      <c r="H214" s="21" t="s">
        <v>311</v>
      </c>
      <c r="I214" s="21" t="s">
        <v>312</v>
      </c>
      <c r="J214" s="22">
        <v>1.75</v>
      </c>
      <c r="K214" s="24"/>
      <c r="L214" s="25" t="s">
        <v>76</v>
      </c>
      <c r="M214" s="18" t="str">
        <f t="shared" si="4"/>
        <v/>
      </c>
    </row>
    <row r="215" spans="1:13" ht="15" customHeight="1" x14ac:dyDescent="0.3">
      <c r="A215" s="19">
        <v>227</v>
      </c>
      <c r="B215" s="19" t="s">
        <v>170</v>
      </c>
      <c r="C215" s="20">
        <v>46335</v>
      </c>
      <c r="D215" s="23" t="s">
        <v>4</v>
      </c>
      <c r="E215" s="23" t="s">
        <v>137</v>
      </c>
      <c r="F215" s="19" t="s">
        <v>53</v>
      </c>
      <c r="G215" s="19" t="s">
        <v>310</v>
      </c>
      <c r="H215" s="21" t="s">
        <v>311</v>
      </c>
      <c r="I215" s="21" t="s">
        <v>312</v>
      </c>
      <c r="J215" s="22">
        <v>1.25</v>
      </c>
      <c r="K215" s="24"/>
      <c r="L215" s="25" t="s">
        <v>76</v>
      </c>
      <c r="M215" s="18" t="str">
        <f t="shared" si="4"/>
        <v/>
      </c>
    </row>
    <row r="216" spans="1:13" ht="15" customHeight="1" x14ac:dyDescent="0.3">
      <c r="A216" s="34">
        <v>203</v>
      </c>
      <c r="B216" s="41" t="s">
        <v>170</v>
      </c>
      <c r="C216" s="35">
        <v>46328</v>
      </c>
      <c r="D216" s="36" t="s">
        <v>3</v>
      </c>
      <c r="E216" s="36" t="s">
        <v>136</v>
      </c>
      <c r="F216" s="41" t="s">
        <v>57</v>
      </c>
      <c r="G216" s="41" t="s">
        <v>315</v>
      </c>
      <c r="H216" s="37" t="s">
        <v>316</v>
      </c>
      <c r="I216" s="37" t="s">
        <v>317</v>
      </c>
      <c r="J216" s="38">
        <v>1</v>
      </c>
      <c r="K216" s="39"/>
      <c r="L216" s="40" t="s">
        <v>76</v>
      </c>
      <c r="M216" s="18" t="str">
        <f t="shared" si="4"/>
        <v/>
      </c>
    </row>
    <row r="217" spans="1:13" ht="15" customHeight="1" x14ac:dyDescent="0.3">
      <c r="A217" s="19">
        <v>208</v>
      </c>
      <c r="B217" s="19" t="s">
        <v>170</v>
      </c>
      <c r="C217" s="20">
        <v>46329</v>
      </c>
      <c r="D217" s="23" t="s">
        <v>3</v>
      </c>
      <c r="E217" s="23" t="s">
        <v>136</v>
      </c>
      <c r="F217" s="19" t="s">
        <v>57</v>
      </c>
      <c r="G217" s="19" t="s">
        <v>315</v>
      </c>
      <c r="H217" s="21" t="s">
        <v>316</v>
      </c>
      <c r="I217" s="21" t="s">
        <v>317</v>
      </c>
      <c r="J217" s="22">
        <v>2</v>
      </c>
      <c r="K217" s="24"/>
      <c r="L217" s="25" t="s">
        <v>76</v>
      </c>
      <c r="M217" s="18" t="str">
        <f t="shared" si="4"/>
        <v/>
      </c>
    </row>
    <row r="218" spans="1:13" ht="15" customHeight="1" x14ac:dyDescent="0.3">
      <c r="A218" s="19">
        <v>213</v>
      </c>
      <c r="B218" s="19" t="s">
        <v>170</v>
      </c>
      <c r="C218" s="20">
        <v>46331</v>
      </c>
      <c r="D218" s="23" t="s">
        <v>3</v>
      </c>
      <c r="E218" s="23" t="s">
        <v>136</v>
      </c>
      <c r="F218" s="19" t="s">
        <v>57</v>
      </c>
      <c r="G218" s="19" t="s">
        <v>315</v>
      </c>
      <c r="H218" s="21" t="s">
        <v>316</v>
      </c>
      <c r="I218" s="21" t="s">
        <v>317</v>
      </c>
      <c r="J218" s="22">
        <v>2.25</v>
      </c>
      <c r="K218" s="24"/>
      <c r="L218" s="25" t="s">
        <v>76</v>
      </c>
      <c r="M218" s="18" t="str">
        <f t="shared" si="4"/>
        <v/>
      </c>
    </row>
    <row r="219" spans="1:13" ht="30" customHeight="1" x14ac:dyDescent="0.3">
      <c r="A219" s="19">
        <v>216</v>
      </c>
      <c r="B219" s="19" t="s">
        <v>170</v>
      </c>
      <c r="C219" s="20">
        <v>46331</v>
      </c>
      <c r="D219" s="23" t="s">
        <v>6</v>
      </c>
      <c r="E219" s="23" t="s">
        <v>138</v>
      </c>
      <c r="F219" s="19" t="s">
        <v>57</v>
      </c>
      <c r="G219" s="19" t="s">
        <v>318</v>
      </c>
      <c r="H219" s="21" t="s">
        <v>319</v>
      </c>
      <c r="I219" s="21" t="s">
        <v>317</v>
      </c>
      <c r="J219" s="22">
        <v>1.75</v>
      </c>
      <c r="K219" s="24"/>
      <c r="L219" s="25" t="s">
        <v>76</v>
      </c>
      <c r="M219" s="18" t="str">
        <f t="shared" si="4"/>
        <v/>
      </c>
    </row>
    <row r="220" spans="1:13" ht="15" customHeight="1" x14ac:dyDescent="0.3">
      <c r="A220" s="19">
        <v>219</v>
      </c>
      <c r="B220" s="19" t="s">
        <v>170</v>
      </c>
      <c r="C220" s="20">
        <v>46332</v>
      </c>
      <c r="D220" s="23" t="s">
        <v>3</v>
      </c>
      <c r="E220" s="23" t="s">
        <v>136</v>
      </c>
      <c r="F220" s="19" t="s">
        <v>57</v>
      </c>
      <c r="G220" s="19" t="s">
        <v>315</v>
      </c>
      <c r="H220" s="21" t="s">
        <v>316</v>
      </c>
      <c r="I220" s="21" t="s">
        <v>317</v>
      </c>
      <c r="J220" s="22">
        <v>2</v>
      </c>
      <c r="K220" s="24"/>
      <c r="L220" s="25" t="s">
        <v>76</v>
      </c>
      <c r="M220" s="18" t="str">
        <f t="shared" si="4"/>
        <v/>
      </c>
    </row>
    <row r="221" spans="1:13" ht="30" customHeight="1" x14ac:dyDescent="0.3">
      <c r="A221" s="19">
        <v>221</v>
      </c>
      <c r="B221" s="19" t="s">
        <v>170</v>
      </c>
      <c r="C221" s="20">
        <v>46332</v>
      </c>
      <c r="D221" s="23" t="s">
        <v>6</v>
      </c>
      <c r="E221" s="23" t="s">
        <v>138</v>
      </c>
      <c r="F221" s="19" t="s">
        <v>57</v>
      </c>
      <c r="G221" s="19" t="s">
        <v>318</v>
      </c>
      <c r="H221" s="21" t="s">
        <v>319</v>
      </c>
      <c r="I221" s="21" t="s">
        <v>317</v>
      </c>
      <c r="J221" s="22">
        <v>2</v>
      </c>
      <c r="K221" s="24"/>
      <c r="L221" s="25" t="s">
        <v>76</v>
      </c>
      <c r="M221" s="18" t="str">
        <f t="shared" si="4"/>
        <v/>
      </c>
    </row>
    <row r="222" spans="1:13" ht="15" customHeight="1" x14ac:dyDescent="0.3">
      <c r="A222" s="19">
        <v>225</v>
      </c>
      <c r="B222" s="19" t="s">
        <v>170</v>
      </c>
      <c r="C222" s="20">
        <v>46335</v>
      </c>
      <c r="D222" s="23" t="s">
        <v>3</v>
      </c>
      <c r="E222" s="23" t="s">
        <v>136</v>
      </c>
      <c r="F222" s="19" t="s">
        <v>57</v>
      </c>
      <c r="G222" s="19" t="s">
        <v>315</v>
      </c>
      <c r="H222" s="21" t="s">
        <v>316</v>
      </c>
      <c r="I222" s="21" t="s">
        <v>317</v>
      </c>
      <c r="J222" s="22">
        <v>0.75</v>
      </c>
      <c r="K222" s="24"/>
      <c r="L222" s="25" t="s">
        <v>76</v>
      </c>
      <c r="M222" s="18" t="str">
        <f t="shared" si="4"/>
        <v/>
      </c>
    </row>
    <row r="223" spans="1:13" ht="30" customHeight="1" x14ac:dyDescent="0.3">
      <c r="A223" s="19">
        <v>229</v>
      </c>
      <c r="B223" s="19" t="s">
        <v>170</v>
      </c>
      <c r="C223" s="20">
        <v>46335</v>
      </c>
      <c r="D223" s="23" t="s">
        <v>6</v>
      </c>
      <c r="E223" s="23" t="s">
        <v>138</v>
      </c>
      <c r="F223" s="19" t="s">
        <v>57</v>
      </c>
      <c r="G223" s="19" t="s">
        <v>318</v>
      </c>
      <c r="H223" s="21" t="s">
        <v>319</v>
      </c>
      <c r="I223" s="21" t="s">
        <v>317</v>
      </c>
      <c r="J223" s="22">
        <v>0.25</v>
      </c>
      <c r="K223" s="24"/>
      <c r="L223" s="25" t="s">
        <v>76</v>
      </c>
      <c r="M223" s="18" t="str">
        <f t="shared" si="4"/>
        <v/>
      </c>
    </row>
    <row r="224" spans="1:13" ht="30" customHeight="1" x14ac:dyDescent="0.3">
      <c r="A224" s="19">
        <v>228</v>
      </c>
      <c r="B224" s="19" t="s">
        <v>170</v>
      </c>
      <c r="C224" s="20">
        <v>46335</v>
      </c>
      <c r="D224" s="23" t="s">
        <v>4</v>
      </c>
      <c r="E224" s="23" t="s">
        <v>137</v>
      </c>
      <c r="F224" s="19" t="s">
        <v>57</v>
      </c>
      <c r="G224" s="19" t="s">
        <v>318</v>
      </c>
      <c r="H224" s="21" t="s">
        <v>319</v>
      </c>
      <c r="I224" s="21" t="s">
        <v>317</v>
      </c>
      <c r="J224" s="22">
        <v>1</v>
      </c>
      <c r="K224" s="24"/>
      <c r="L224" s="25" t="s">
        <v>76</v>
      </c>
      <c r="M224" s="18" t="str">
        <f t="shared" si="4"/>
        <v/>
      </c>
    </row>
    <row r="225" spans="1:13" ht="30" customHeight="1" x14ac:dyDescent="0.3">
      <c r="A225" s="19">
        <v>235</v>
      </c>
      <c r="B225" s="19" t="s">
        <v>170</v>
      </c>
      <c r="C225" s="20">
        <v>46336</v>
      </c>
      <c r="D225" s="23" t="s">
        <v>4</v>
      </c>
      <c r="E225" s="23" t="s">
        <v>137</v>
      </c>
      <c r="F225" s="19" t="s">
        <v>57</v>
      </c>
      <c r="G225" s="19" t="s">
        <v>318</v>
      </c>
      <c r="H225" s="21" t="s">
        <v>319</v>
      </c>
      <c r="I225" s="21" t="s">
        <v>317</v>
      </c>
      <c r="J225" s="22">
        <v>1</v>
      </c>
      <c r="K225" s="24"/>
      <c r="L225" s="25" t="s">
        <v>76</v>
      </c>
      <c r="M225" s="18" t="str">
        <f t="shared" si="4"/>
        <v/>
      </c>
    </row>
    <row r="226" spans="1:13" ht="30" customHeight="1" x14ac:dyDescent="0.3">
      <c r="A226" s="34">
        <v>224</v>
      </c>
      <c r="B226" s="41" t="s">
        <v>170</v>
      </c>
      <c r="C226" s="35">
        <v>46335</v>
      </c>
      <c r="D226" s="36" t="s">
        <v>5</v>
      </c>
      <c r="E226" s="36" t="s">
        <v>134</v>
      </c>
      <c r="F226" s="41" t="s">
        <v>61</v>
      </c>
      <c r="G226" s="41" t="s">
        <v>63</v>
      </c>
      <c r="H226" s="37" t="s">
        <v>320</v>
      </c>
      <c r="I226" s="37" t="s">
        <v>321</v>
      </c>
      <c r="J226" s="38">
        <v>0.5</v>
      </c>
      <c r="K226" s="39"/>
      <c r="L226" s="40" t="s">
        <v>76</v>
      </c>
      <c r="M226" s="18" t="str">
        <f t="shared" si="4"/>
        <v/>
      </c>
    </row>
    <row r="227" spans="1:13" ht="30" customHeight="1" x14ac:dyDescent="0.3">
      <c r="A227" s="19">
        <v>230</v>
      </c>
      <c r="B227" s="19" t="s">
        <v>170</v>
      </c>
      <c r="C227" s="20">
        <v>46335</v>
      </c>
      <c r="D227" s="23" t="s">
        <v>6</v>
      </c>
      <c r="E227" s="23" t="s">
        <v>138</v>
      </c>
      <c r="F227" s="19" t="s">
        <v>61</v>
      </c>
      <c r="G227" s="19" t="s">
        <v>63</v>
      </c>
      <c r="H227" s="21" t="s">
        <v>320</v>
      </c>
      <c r="I227" s="21" t="s">
        <v>321</v>
      </c>
      <c r="J227" s="22">
        <v>2</v>
      </c>
      <c r="K227" s="24"/>
      <c r="L227" s="25" t="s">
        <v>76</v>
      </c>
      <c r="M227" s="18" t="str">
        <f t="shared" si="4"/>
        <v/>
      </c>
    </row>
    <row r="228" spans="1:13" ht="30" customHeight="1" x14ac:dyDescent="0.3">
      <c r="A228" s="19">
        <v>232</v>
      </c>
      <c r="B228" s="19" t="s">
        <v>170</v>
      </c>
      <c r="C228" s="20">
        <v>46336</v>
      </c>
      <c r="D228" s="23" t="s">
        <v>5</v>
      </c>
      <c r="E228" s="23" t="s">
        <v>134</v>
      </c>
      <c r="F228" s="19" t="s">
        <v>61</v>
      </c>
      <c r="G228" s="19" t="s">
        <v>63</v>
      </c>
      <c r="H228" s="21" t="s">
        <v>320</v>
      </c>
      <c r="I228" s="21" t="s">
        <v>321</v>
      </c>
      <c r="J228" s="22">
        <v>1</v>
      </c>
      <c r="K228" s="24"/>
      <c r="L228" s="25" t="s">
        <v>76</v>
      </c>
      <c r="M228" s="18" t="str">
        <f t="shared" si="4"/>
        <v/>
      </c>
    </row>
    <row r="229" spans="1:13" ht="15" customHeight="1" x14ac:dyDescent="0.3">
      <c r="A229" s="19">
        <v>236</v>
      </c>
      <c r="B229" s="19" t="s">
        <v>170</v>
      </c>
      <c r="C229" s="20">
        <v>46336</v>
      </c>
      <c r="D229" s="23" t="s">
        <v>4</v>
      </c>
      <c r="E229" s="23" t="s">
        <v>137</v>
      </c>
      <c r="F229" s="19" t="s">
        <v>61</v>
      </c>
      <c r="G229" s="19" t="s">
        <v>63</v>
      </c>
      <c r="H229" s="21" t="s">
        <v>320</v>
      </c>
      <c r="I229" s="21" t="s">
        <v>321</v>
      </c>
      <c r="J229" s="22">
        <v>1.25</v>
      </c>
      <c r="K229" s="24"/>
      <c r="L229" s="25" t="s">
        <v>76</v>
      </c>
      <c r="M229" s="18" t="str">
        <f t="shared" si="4"/>
        <v/>
      </c>
    </row>
    <row r="230" spans="1:13" ht="15" customHeight="1" x14ac:dyDescent="0.3">
      <c r="A230" s="19">
        <v>242</v>
      </c>
      <c r="B230" s="19" t="s">
        <v>170</v>
      </c>
      <c r="C230" s="20">
        <v>46337</v>
      </c>
      <c r="D230" s="23" t="s">
        <v>4</v>
      </c>
      <c r="E230" s="23" t="s">
        <v>137</v>
      </c>
      <c r="F230" s="19" t="s">
        <v>61</v>
      </c>
      <c r="G230" s="19" t="s">
        <v>63</v>
      </c>
      <c r="H230" s="21" t="s">
        <v>320</v>
      </c>
      <c r="I230" s="21" t="s">
        <v>321</v>
      </c>
      <c r="J230" s="22">
        <v>2</v>
      </c>
      <c r="K230" s="24"/>
      <c r="L230" s="25" t="s">
        <v>76</v>
      </c>
      <c r="M230" s="18" t="str">
        <f t="shared" si="4"/>
        <v/>
      </c>
    </row>
    <row r="231" spans="1:13" ht="15" customHeight="1" x14ac:dyDescent="0.3">
      <c r="A231" s="19">
        <v>250</v>
      </c>
      <c r="B231" s="19" t="s">
        <v>170</v>
      </c>
      <c r="C231" s="20">
        <v>46338</v>
      </c>
      <c r="D231" s="23" t="s">
        <v>4</v>
      </c>
      <c r="E231" s="23" t="s">
        <v>137</v>
      </c>
      <c r="F231" s="19" t="s">
        <v>61</v>
      </c>
      <c r="G231" s="19" t="s">
        <v>63</v>
      </c>
      <c r="H231" s="21" t="s">
        <v>320</v>
      </c>
      <c r="I231" s="21" t="s">
        <v>321</v>
      </c>
      <c r="J231" s="22">
        <v>0.25</v>
      </c>
      <c r="K231" s="24"/>
      <c r="L231" s="25" t="s">
        <v>76</v>
      </c>
      <c r="M231" s="18" t="str">
        <f t="shared" si="4"/>
        <v/>
      </c>
    </row>
    <row r="232" spans="1:13" ht="30" customHeight="1" x14ac:dyDescent="0.3">
      <c r="A232" s="34">
        <v>226</v>
      </c>
      <c r="B232" s="41" t="s">
        <v>170</v>
      </c>
      <c r="C232" s="35">
        <v>46335</v>
      </c>
      <c r="D232" s="36" t="s">
        <v>3</v>
      </c>
      <c r="E232" s="36" t="s">
        <v>136</v>
      </c>
      <c r="F232" s="41" t="s">
        <v>65</v>
      </c>
      <c r="G232" s="41" t="s">
        <v>322</v>
      </c>
      <c r="H232" s="37" t="s">
        <v>323</v>
      </c>
      <c r="I232" s="37" t="s">
        <v>324</v>
      </c>
      <c r="J232" s="38">
        <v>1.5</v>
      </c>
      <c r="K232" s="39"/>
      <c r="L232" s="40" t="s">
        <v>76</v>
      </c>
      <c r="M232" s="18" t="str">
        <f t="shared" si="4"/>
        <v/>
      </c>
    </row>
    <row r="233" spans="1:13" ht="30" customHeight="1" x14ac:dyDescent="0.3">
      <c r="A233" s="19">
        <v>234</v>
      </c>
      <c r="B233" s="19" t="s">
        <v>170</v>
      </c>
      <c r="C233" s="20">
        <v>46336</v>
      </c>
      <c r="D233" s="23" t="s">
        <v>3</v>
      </c>
      <c r="E233" s="23" t="s">
        <v>136</v>
      </c>
      <c r="F233" s="19" t="s">
        <v>65</v>
      </c>
      <c r="G233" s="19" t="s">
        <v>322</v>
      </c>
      <c r="H233" s="21" t="s">
        <v>323</v>
      </c>
      <c r="I233" s="21" t="s">
        <v>324</v>
      </c>
      <c r="J233" s="22">
        <v>2.25</v>
      </c>
      <c r="K233" s="24"/>
      <c r="L233" s="25" t="s">
        <v>76</v>
      </c>
      <c r="M233" s="18" t="str">
        <f t="shared" si="4"/>
        <v/>
      </c>
    </row>
    <row r="234" spans="1:13" ht="30" customHeight="1" x14ac:dyDescent="0.3">
      <c r="A234" s="19">
        <v>233</v>
      </c>
      <c r="B234" s="19" t="s">
        <v>170</v>
      </c>
      <c r="C234" s="20">
        <v>46336</v>
      </c>
      <c r="D234" s="23" t="s">
        <v>5</v>
      </c>
      <c r="E234" s="23" t="s">
        <v>134</v>
      </c>
      <c r="F234" s="19" t="s">
        <v>65</v>
      </c>
      <c r="G234" s="19" t="s">
        <v>325</v>
      </c>
      <c r="H234" s="21" t="s">
        <v>326</v>
      </c>
      <c r="I234" s="21" t="s">
        <v>327</v>
      </c>
      <c r="J234" s="22">
        <v>1.25</v>
      </c>
      <c r="K234" s="24"/>
      <c r="L234" s="25" t="s">
        <v>76</v>
      </c>
      <c r="M234" s="18" t="str">
        <f t="shared" si="4"/>
        <v/>
      </c>
    </row>
    <row r="235" spans="1:13" ht="30" customHeight="1" x14ac:dyDescent="0.3">
      <c r="A235" s="19">
        <v>237</v>
      </c>
      <c r="B235" s="19" t="s">
        <v>170</v>
      </c>
      <c r="C235" s="20">
        <v>46336</v>
      </c>
      <c r="D235" s="23" t="s">
        <v>6</v>
      </c>
      <c r="E235" s="23" t="s">
        <v>138</v>
      </c>
      <c r="F235" s="19" t="s">
        <v>65</v>
      </c>
      <c r="G235" s="19" t="s">
        <v>325</v>
      </c>
      <c r="H235" s="21" t="s">
        <v>326</v>
      </c>
      <c r="I235" s="21" t="s">
        <v>327</v>
      </c>
      <c r="J235" s="22">
        <v>2.25</v>
      </c>
      <c r="K235" s="24"/>
      <c r="L235" s="25" t="s">
        <v>76</v>
      </c>
      <c r="M235" s="18" t="str">
        <f t="shared" si="4"/>
        <v/>
      </c>
    </row>
    <row r="236" spans="1:13" ht="30" customHeight="1" x14ac:dyDescent="0.3">
      <c r="A236" s="19">
        <v>241</v>
      </c>
      <c r="B236" s="19" t="s">
        <v>170</v>
      </c>
      <c r="C236" s="20">
        <v>46337</v>
      </c>
      <c r="D236" s="23" t="s">
        <v>3</v>
      </c>
      <c r="E236" s="23" t="s">
        <v>136</v>
      </c>
      <c r="F236" s="19" t="s">
        <v>65</v>
      </c>
      <c r="G236" s="19" t="s">
        <v>322</v>
      </c>
      <c r="H236" s="21" t="s">
        <v>323</v>
      </c>
      <c r="I236" s="21" t="s">
        <v>324</v>
      </c>
      <c r="J236" s="22">
        <v>2</v>
      </c>
      <c r="K236" s="24"/>
      <c r="L236" s="25" t="s">
        <v>76</v>
      </c>
      <c r="M236" s="18" t="str">
        <f t="shared" si="4"/>
        <v/>
      </c>
    </row>
    <row r="237" spans="1:13" ht="30" customHeight="1" x14ac:dyDescent="0.3">
      <c r="A237" s="19">
        <v>239</v>
      </c>
      <c r="B237" s="19" t="s">
        <v>170</v>
      </c>
      <c r="C237" s="20">
        <v>46337</v>
      </c>
      <c r="D237" s="23" t="s">
        <v>5</v>
      </c>
      <c r="E237" s="23" t="s">
        <v>134</v>
      </c>
      <c r="F237" s="19" t="s">
        <v>65</v>
      </c>
      <c r="G237" s="19" t="s">
        <v>325</v>
      </c>
      <c r="H237" s="21" t="s">
        <v>326</v>
      </c>
      <c r="I237" s="21" t="s">
        <v>327</v>
      </c>
      <c r="J237" s="22">
        <v>0.75</v>
      </c>
      <c r="K237" s="24"/>
      <c r="L237" s="25" t="s">
        <v>76</v>
      </c>
      <c r="M237" s="18" t="str">
        <f t="shared" si="4"/>
        <v/>
      </c>
    </row>
    <row r="238" spans="1:13" ht="30" customHeight="1" x14ac:dyDescent="0.3">
      <c r="A238" s="19">
        <v>243</v>
      </c>
      <c r="B238" s="19" t="s">
        <v>170</v>
      </c>
      <c r="C238" s="20">
        <v>46337</v>
      </c>
      <c r="D238" s="23" t="s">
        <v>6</v>
      </c>
      <c r="E238" s="23" t="s">
        <v>138</v>
      </c>
      <c r="F238" s="19" t="s">
        <v>65</v>
      </c>
      <c r="G238" s="19" t="s">
        <v>325</v>
      </c>
      <c r="H238" s="21" t="s">
        <v>326</v>
      </c>
      <c r="I238" s="21" t="s">
        <v>327</v>
      </c>
      <c r="J238" s="22">
        <v>0.75</v>
      </c>
      <c r="K238" s="24"/>
      <c r="L238" s="25" t="s">
        <v>76</v>
      </c>
      <c r="M238" s="18" t="str">
        <f t="shared" si="4"/>
        <v/>
      </c>
    </row>
    <row r="239" spans="1:13" ht="30" customHeight="1" x14ac:dyDescent="0.3">
      <c r="A239" s="19">
        <v>249</v>
      </c>
      <c r="B239" s="19" t="s">
        <v>170</v>
      </c>
      <c r="C239" s="20">
        <v>46338</v>
      </c>
      <c r="D239" s="23" t="s">
        <v>3</v>
      </c>
      <c r="E239" s="23" t="s">
        <v>136</v>
      </c>
      <c r="F239" s="19" t="s">
        <v>65</v>
      </c>
      <c r="G239" s="19" t="s">
        <v>322</v>
      </c>
      <c r="H239" s="21" t="s">
        <v>323</v>
      </c>
      <c r="I239" s="21" t="s">
        <v>324</v>
      </c>
      <c r="J239" s="22">
        <v>0.75</v>
      </c>
      <c r="K239" s="24"/>
      <c r="L239" s="25" t="s">
        <v>76</v>
      </c>
      <c r="M239" s="18" t="str">
        <f t="shared" si="4"/>
        <v/>
      </c>
    </row>
    <row r="240" spans="1:13" ht="30" customHeight="1" x14ac:dyDescent="0.3">
      <c r="A240" s="19">
        <v>251</v>
      </c>
      <c r="B240" s="19" t="s">
        <v>170</v>
      </c>
      <c r="C240" s="20">
        <v>46338</v>
      </c>
      <c r="D240" s="23" t="s">
        <v>4</v>
      </c>
      <c r="E240" s="23" t="s">
        <v>137</v>
      </c>
      <c r="F240" s="19" t="s">
        <v>65</v>
      </c>
      <c r="G240" s="19" t="s">
        <v>325</v>
      </c>
      <c r="H240" s="21" t="s">
        <v>326</v>
      </c>
      <c r="I240" s="21" t="s">
        <v>327</v>
      </c>
      <c r="J240" s="22">
        <v>0.5</v>
      </c>
      <c r="K240" s="24"/>
      <c r="L240" s="25" t="s">
        <v>76</v>
      </c>
      <c r="M240" s="18" t="str">
        <f t="shared" si="4"/>
        <v/>
      </c>
    </row>
    <row r="241" spans="1:13" ht="15" customHeight="1" x14ac:dyDescent="0.3">
      <c r="A241" s="34">
        <v>246</v>
      </c>
      <c r="B241" s="41" t="s">
        <v>170</v>
      </c>
      <c r="C241" s="35">
        <v>46338</v>
      </c>
      <c r="D241" s="43" t="s">
        <v>288</v>
      </c>
      <c r="E241" s="43" t="s">
        <v>289</v>
      </c>
      <c r="F241" s="41" t="s">
        <v>69</v>
      </c>
      <c r="G241" s="41" t="s">
        <v>329</v>
      </c>
      <c r="H241" s="37" t="s">
        <v>363</v>
      </c>
      <c r="I241" s="37" t="s">
        <v>333</v>
      </c>
      <c r="J241" s="38">
        <v>4</v>
      </c>
      <c r="K241" s="39"/>
      <c r="L241" s="40" t="s">
        <v>76</v>
      </c>
      <c r="M241" s="18" t="str">
        <f t="shared" si="4"/>
        <v/>
      </c>
    </row>
    <row r="242" spans="1:13" ht="30" customHeight="1" x14ac:dyDescent="0.3">
      <c r="A242" s="34">
        <v>240</v>
      </c>
      <c r="B242" s="41" t="s">
        <v>170</v>
      </c>
      <c r="C242" s="35">
        <v>46337</v>
      </c>
      <c r="D242" s="36" t="s">
        <v>5</v>
      </c>
      <c r="E242" s="36" t="s">
        <v>134</v>
      </c>
      <c r="F242" s="41" t="s">
        <v>73</v>
      </c>
      <c r="G242" s="41" t="s">
        <v>334</v>
      </c>
      <c r="H242" s="37" t="s">
        <v>335</v>
      </c>
      <c r="I242" s="37" t="s">
        <v>336</v>
      </c>
      <c r="J242" s="38">
        <v>1.25</v>
      </c>
      <c r="K242" s="39"/>
      <c r="L242" s="40" t="s">
        <v>76</v>
      </c>
      <c r="M242" s="18" t="str">
        <f t="shared" si="4"/>
        <v/>
      </c>
    </row>
    <row r="243" spans="1:13" ht="30" customHeight="1" x14ac:dyDescent="0.3">
      <c r="A243" s="19">
        <v>244</v>
      </c>
      <c r="B243" s="19" t="s">
        <v>170</v>
      </c>
      <c r="C243" s="20">
        <v>46337</v>
      </c>
      <c r="D243" s="23" t="s">
        <v>6</v>
      </c>
      <c r="E243" s="23" t="s">
        <v>138</v>
      </c>
      <c r="F243" s="19" t="s">
        <v>73</v>
      </c>
      <c r="G243" s="19" t="s">
        <v>334</v>
      </c>
      <c r="H243" s="21" t="s">
        <v>335</v>
      </c>
      <c r="I243" s="21" t="s">
        <v>336</v>
      </c>
      <c r="J243" s="22">
        <v>1.25</v>
      </c>
      <c r="K243" s="24"/>
      <c r="L243" s="25" t="s">
        <v>76</v>
      </c>
      <c r="M243" s="18" t="str">
        <f t="shared" si="4"/>
        <v/>
      </c>
    </row>
    <row r="244" spans="1:13" ht="30" customHeight="1" x14ac:dyDescent="0.3">
      <c r="A244" s="19">
        <v>248</v>
      </c>
      <c r="B244" s="19" t="s">
        <v>170</v>
      </c>
      <c r="C244" s="20">
        <v>46338</v>
      </c>
      <c r="D244" s="23" t="s">
        <v>5</v>
      </c>
      <c r="E244" s="23" t="s">
        <v>134</v>
      </c>
      <c r="F244" s="19" t="s">
        <v>73</v>
      </c>
      <c r="G244" s="19" t="s">
        <v>334</v>
      </c>
      <c r="H244" s="21" t="s">
        <v>335</v>
      </c>
      <c r="I244" s="21" t="s">
        <v>336</v>
      </c>
      <c r="J244" s="22">
        <v>0.75</v>
      </c>
      <c r="K244" s="24"/>
      <c r="L244" s="25" t="s">
        <v>76</v>
      </c>
      <c r="M244" s="18" t="str">
        <f t="shared" si="4"/>
        <v/>
      </c>
    </row>
    <row r="245" spans="1:13" ht="30" customHeight="1" x14ac:dyDescent="0.3">
      <c r="A245" s="19">
        <v>252</v>
      </c>
      <c r="B245" s="19" t="s">
        <v>170</v>
      </c>
      <c r="C245" s="20">
        <v>46338</v>
      </c>
      <c r="D245" s="23" t="s">
        <v>6</v>
      </c>
      <c r="E245" s="23" t="s">
        <v>138</v>
      </c>
      <c r="F245" s="19" t="s">
        <v>73</v>
      </c>
      <c r="G245" s="19" t="s">
        <v>334</v>
      </c>
      <c r="H245" s="21" t="s">
        <v>335</v>
      </c>
      <c r="I245" s="21" t="s">
        <v>336</v>
      </c>
      <c r="J245" s="22">
        <v>0.75</v>
      </c>
      <c r="K245" s="24"/>
      <c r="L245" s="25" t="s">
        <v>76</v>
      </c>
      <c r="M245" s="18" t="str">
        <f t="shared" si="4"/>
        <v/>
      </c>
    </row>
    <row r="246" spans="1:13" ht="30" customHeight="1" x14ac:dyDescent="0.3">
      <c r="A246" s="34">
        <v>171</v>
      </c>
      <c r="B246" s="41" t="s">
        <v>170</v>
      </c>
      <c r="C246" s="35">
        <v>46322</v>
      </c>
      <c r="D246" s="43" t="s">
        <v>288</v>
      </c>
      <c r="E246" s="43" t="s">
        <v>289</v>
      </c>
      <c r="F246" s="41" t="s">
        <v>81</v>
      </c>
      <c r="G246" s="41" t="s">
        <v>337</v>
      </c>
      <c r="H246" s="37" t="s">
        <v>338</v>
      </c>
      <c r="I246" s="37" t="s">
        <v>339</v>
      </c>
      <c r="J246" s="38">
        <v>1</v>
      </c>
      <c r="K246" s="39"/>
      <c r="L246" s="40" t="s">
        <v>76</v>
      </c>
      <c r="M246" s="18" t="str">
        <f t="shared" si="4"/>
        <v/>
      </c>
    </row>
    <row r="247" spans="1:13" ht="30" customHeight="1" x14ac:dyDescent="0.3">
      <c r="A247" s="19">
        <v>170</v>
      </c>
      <c r="B247" s="19" t="s">
        <v>170</v>
      </c>
      <c r="C247" s="20">
        <v>46322</v>
      </c>
      <c r="D247" s="42" t="s">
        <v>288</v>
      </c>
      <c r="E247" s="42" t="s">
        <v>289</v>
      </c>
      <c r="F247" s="19" t="s">
        <v>81</v>
      </c>
      <c r="G247" s="19" t="s">
        <v>340</v>
      </c>
      <c r="H247" s="21" t="s">
        <v>364</v>
      </c>
      <c r="I247" s="21" t="s">
        <v>342</v>
      </c>
      <c r="J247" s="22">
        <v>4</v>
      </c>
      <c r="K247" s="24"/>
      <c r="L247" s="25" t="s">
        <v>76</v>
      </c>
      <c r="M247" s="18" t="str">
        <f t="shared" si="4"/>
        <v/>
      </c>
    </row>
    <row r="248" spans="1:13" ht="30" customHeight="1" x14ac:dyDescent="0.3">
      <c r="A248" s="19">
        <v>177</v>
      </c>
      <c r="B248" s="19" t="s">
        <v>170</v>
      </c>
      <c r="C248" s="20">
        <v>46323</v>
      </c>
      <c r="D248" s="42" t="s">
        <v>288</v>
      </c>
      <c r="E248" s="42" t="s">
        <v>289</v>
      </c>
      <c r="F248" s="19" t="s">
        <v>81</v>
      </c>
      <c r="G248" s="19" t="s">
        <v>337</v>
      </c>
      <c r="H248" s="21" t="s">
        <v>338</v>
      </c>
      <c r="I248" s="21" t="s">
        <v>339</v>
      </c>
      <c r="J248" s="22">
        <v>1</v>
      </c>
      <c r="K248" s="24"/>
      <c r="L248" s="25" t="s">
        <v>76</v>
      </c>
      <c r="M248" s="18" t="str">
        <f t="shared" si="4"/>
        <v/>
      </c>
    </row>
    <row r="249" spans="1:13" ht="30" customHeight="1" x14ac:dyDescent="0.3">
      <c r="A249" s="19">
        <v>186</v>
      </c>
      <c r="B249" s="19" t="s">
        <v>170</v>
      </c>
      <c r="C249" s="20">
        <v>46324</v>
      </c>
      <c r="D249" s="42" t="s">
        <v>288</v>
      </c>
      <c r="E249" s="42" t="s">
        <v>289</v>
      </c>
      <c r="F249" s="19" t="s">
        <v>81</v>
      </c>
      <c r="G249" s="19" t="s">
        <v>337</v>
      </c>
      <c r="H249" s="21" t="s">
        <v>338</v>
      </c>
      <c r="I249" s="21" t="s">
        <v>339</v>
      </c>
      <c r="J249" s="22">
        <v>1</v>
      </c>
      <c r="K249" s="24"/>
      <c r="L249" s="25" t="s">
        <v>76</v>
      </c>
      <c r="M249" s="18" t="str">
        <f t="shared" si="4"/>
        <v/>
      </c>
    </row>
    <row r="250" spans="1:13" ht="30" customHeight="1" x14ac:dyDescent="0.3">
      <c r="A250" s="19">
        <v>194</v>
      </c>
      <c r="B250" s="19" t="s">
        <v>170</v>
      </c>
      <c r="C250" s="20">
        <v>46325</v>
      </c>
      <c r="D250" s="42" t="s">
        <v>288</v>
      </c>
      <c r="E250" s="42" t="s">
        <v>289</v>
      </c>
      <c r="F250" s="19" t="s">
        <v>81</v>
      </c>
      <c r="G250" s="19" t="s">
        <v>337</v>
      </c>
      <c r="H250" s="21" t="s">
        <v>338</v>
      </c>
      <c r="I250" s="21" t="s">
        <v>339</v>
      </c>
      <c r="J250" s="22">
        <v>1</v>
      </c>
      <c r="K250" s="24"/>
      <c r="L250" s="25" t="s">
        <v>76</v>
      </c>
      <c r="M250" s="18" t="str">
        <f t="shared" si="4"/>
        <v/>
      </c>
    </row>
    <row r="251" spans="1:13" ht="30" customHeight="1" x14ac:dyDescent="0.3">
      <c r="A251" s="19">
        <v>200</v>
      </c>
      <c r="B251" s="19" t="s">
        <v>170</v>
      </c>
      <c r="C251" s="20">
        <v>46328</v>
      </c>
      <c r="D251" s="42" t="s">
        <v>288</v>
      </c>
      <c r="E251" s="42" t="s">
        <v>289</v>
      </c>
      <c r="F251" s="19" t="s">
        <v>81</v>
      </c>
      <c r="G251" s="19" t="s">
        <v>337</v>
      </c>
      <c r="H251" s="21" t="s">
        <v>338</v>
      </c>
      <c r="I251" s="21" t="s">
        <v>339</v>
      </c>
      <c r="J251" s="22">
        <v>1</v>
      </c>
      <c r="K251" s="24"/>
      <c r="L251" s="25" t="s">
        <v>76</v>
      </c>
      <c r="M251" s="18" t="str">
        <f t="shared" si="4"/>
        <v/>
      </c>
    </row>
    <row r="252" spans="1:13" ht="30" customHeight="1" x14ac:dyDescent="0.3">
      <c r="A252" s="19">
        <v>206</v>
      </c>
      <c r="B252" s="19" t="s">
        <v>170</v>
      </c>
      <c r="C252" s="20">
        <v>46329</v>
      </c>
      <c r="D252" s="42" t="s">
        <v>288</v>
      </c>
      <c r="E252" s="42" t="s">
        <v>289</v>
      </c>
      <c r="F252" s="19" t="s">
        <v>81</v>
      </c>
      <c r="G252" s="19" t="s">
        <v>337</v>
      </c>
      <c r="H252" s="21" t="s">
        <v>338</v>
      </c>
      <c r="I252" s="21" t="s">
        <v>339</v>
      </c>
      <c r="J252" s="22">
        <v>1</v>
      </c>
      <c r="K252" s="24"/>
      <c r="L252" s="25" t="s">
        <v>76</v>
      </c>
      <c r="M252" s="18" t="str">
        <f t="shared" si="4"/>
        <v/>
      </c>
    </row>
    <row r="253" spans="1:13" ht="30" customHeight="1" x14ac:dyDescent="0.3">
      <c r="A253" s="19">
        <v>211</v>
      </c>
      <c r="B253" s="19" t="s">
        <v>170</v>
      </c>
      <c r="C253" s="20">
        <v>46331</v>
      </c>
      <c r="D253" s="42" t="s">
        <v>288</v>
      </c>
      <c r="E253" s="42" t="s">
        <v>289</v>
      </c>
      <c r="F253" s="19" t="s">
        <v>81</v>
      </c>
      <c r="G253" s="19" t="s">
        <v>337</v>
      </c>
      <c r="H253" s="21" t="s">
        <v>338</v>
      </c>
      <c r="I253" s="21" t="s">
        <v>339</v>
      </c>
      <c r="J253" s="22">
        <v>1</v>
      </c>
      <c r="K253" s="24"/>
      <c r="L253" s="25" t="s">
        <v>76</v>
      </c>
      <c r="M253" s="18" t="str">
        <f t="shared" si="4"/>
        <v/>
      </c>
    </row>
    <row r="254" spans="1:13" ht="30" customHeight="1" x14ac:dyDescent="0.3">
      <c r="A254" s="19">
        <v>217</v>
      </c>
      <c r="B254" s="19" t="s">
        <v>170</v>
      </c>
      <c r="C254" s="20">
        <v>46332</v>
      </c>
      <c r="D254" s="42" t="s">
        <v>288</v>
      </c>
      <c r="E254" s="42" t="s">
        <v>289</v>
      </c>
      <c r="F254" s="19" t="s">
        <v>81</v>
      </c>
      <c r="G254" s="19" t="s">
        <v>337</v>
      </c>
      <c r="H254" s="21" t="s">
        <v>338</v>
      </c>
      <c r="I254" s="21" t="s">
        <v>339</v>
      </c>
      <c r="J254" s="22">
        <v>1</v>
      </c>
      <c r="K254" s="24"/>
      <c r="L254" s="25" t="s">
        <v>76</v>
      </c>
      <c r="M254" s="18" t="str">
        <f t="shared" si="4"/>
        <v/>
      </c>
    </row>
    <row r="255" spans="1:13" ht="30" customHeight="1" x14ac:dyDescent="0.3">
      <c r="A255" s="19">
        <v>222</v>
      </c>
      <c r="B255" s="19" t="s">
        <v>170</v>
      </c>
      <c r="C255" s="20">
        <v>46335</v>
      </c>
      <c r="D255" s="42" t="s">
        <v>288</v>
      </c>
      <c r="E255" s="42" t="s">
        <v>289</v>
      </c>
      <c r="F255" s="19" t="s">
        <v>81</v>
      </c>
      <c r="G255" s="19" t="s">
        <v>337</v>
      </c>
      <c r="H255" s="21" t="s">
        <v>338</v>
      </c>
      <c r="I255" s="21" t="s">
        <v>339</v>
      </c>
      <c r="J255" s="22">
        <v>1</v>
      </c>
      <c r="K255" s="24"/>
      <c r="L255" s="25" t="s">
        <v>76</v>
      </c>
      <c r="M255" s="18" t="str">
        <f t="shared" si="4"/>
        <v/>
      </c>
    </row>
    <row r="256" spans="1:13" ht="30" customHeight="1" x14ac:dyDescent="0.3">
      <c r="A256" s="19">
        <v>231</v>
      </c>
      <c r="B256" s="19" t="s">
        <v>170</v>
      </c>
      <c r="C256" s="20">
        <v>46336</v>
      </c>
      <c r="D256" s="42" t="s">
        <v>288</v>
      </c>
      <c r="E256" s="42" t="s">
        <v>289</v>
      </c>
      <c r="F256" s="19" t="s">
        <v>81</v>
      </c>
      <c r="G256" s="19" t="s">
        <v>337</v>
      </c>
      <c r="H256" s="21" t="s">
        <v>338</v>
      </c>
      <c r="I256" s="21" t="s">
        <v>339</v>
      </c>
      <c r="J256" s="22">
        <v>1</v>
      </c>
      <c r="K256" s="24"/>
      <c r="L256" s="25" t="s">
        <v>76</v>
      </c>
      <c r="M256" s="18" t="str">
        <f t="shared" si="4"/>
        <v/>
      </c>
    </row>
    <row r="257" spans="1:13" ht="30" customHeight="1" x14ac:dyDescent="0.3">
      <c r="A257" s="19">
        <v>238</v>
      </c>
      <c r="B257" s="19" t="s">
        <v>170</v>
      </c>
      <c r="C257" s="20">
        <v>46337</v>
      </c>
      <c r="D257" s="42" t="s">
        <v>288</v>
      </c>
      <c r="E257" s="42" t="s">
        <v>289</v>
      </c>
      <c r="F257" s="19" t="s">
        <v>81</v>
      </c>
      <c r="G257" s="19" t="s">
        <v>337</v>
      </c>
      <c r="H257" s="21" t="s">
        <v>338</v>
      </c>
      <c r="I257" s="21" t="s">
        <v>339</v>
      </c>
      <c r="J257" s="22">
        <v>1</v>
      </c>
      <c r="K257" s="24"/>
      <c r="L257" s="25" t="s">
        <v>76</v>
      </c>
      <c r="M257" s="18" t="str">
        <f t="shared" si="4"/>
        <v/>
      </c>
    </row>
    <row r="258" spans="1:13" ht="30" customHeight="1" x14ac:dyDescent="0.3">
      <c r="A258" s="19">
        <v>245</v>
      </c>
      <c r="B258" s="19" t="s">
        <v>170</v>
      </c>
      <c r="C258" s="20">
        <v>46338</v>
      </c>
      <c r="D258" s="42" t="s">
        <v>288</v>
      </c>
      <c r="E258" s="42" t="s">
        <v>289</v>
      </c>
      <c r="F258" s="19" t="s">
        <v>81</v>
      </c>
      <c r="G258" s="19" t="s">
        <v>337</v>
      </c>
      <c r="H258" s="21" t="s">
        <v>338</v>
      </c>
      <c r="I258" s="21" t="s">
        <v>339</v>
      </c>
      <c r="J258" s="22">
        <v>1</v>
      </c>
      <c r="K258" s="24"/>
      <c r="L258" s="25" t="s">
        <v>76</v>
      </c>
      <c r="M258" s="18" t="str">
        <f t="shared" ref="M258:M277" si="5">IF(AND(C258&lt;=FechaCorte,NOT(ISNUMBER(K258))),"Por confirmar","")</f>
        <v/>
      </c>
    </row>
    <row r="259" spans="1:13" ht="30" customHeight="1" x14ac:dyDescent="0.3">
      <c r="A259" s="19">
        <v>247</v>
      </c>
      <c r="B259" s="19" t="s">
        <v>170</v>
      </c>
      <c r="C259" s="20">
        <v>46338</v>
      </c>
      <c r="D259" s="42" t="s">
        <v>288</v>
      </c>
      <c r="E259" s="42" t="s">
        <v>289</v>
      </c>
      <c r="F259" s="19" t="s">
        <v>81</v>
      </c>
      <c r="G259" s="19" t="s">
        <v>349</v>
      </c>
      <c r="H259" s="21" t="s">
        <v>365</v>
      </c>
      <c r="I259" s="21" t="s">
        <v>351</v>
      </c>
      <c r="J259" s="22">
        <v>4</v>
      </c>
      <c r="K259" s="24"/>
      <c r="L259" s="25" t="s">
        <v>76</v>
      </c>
      <c r="M259" s="18" t="str">
        <f t="shared" si="5"/>
        <v/>
      </c>
    </row>
    <row r="260" spans="1:13" ht="15" customHeight="1" x14ac:dyDescent="0.3">
      <c r="A260" s="26">
        <v>262</v>
      </c>
      <c r="B260" s="33" t="s">
        <v>173</v>
      </c>
      <c r="C260" s="27">
        <v>46345</v>
      </c>
      <c r="D260" s="44" t="s">
        <v>288</v>
      </c>
      <c r="E260" s="44" t="s">
        <v>289</v>
      </c>
      <c r="F260" s="33" t="s">
        <v>69</v>
      </c>
      <c r="G260" s="33" t="s">
        <v>366</v>
      </c>
      <c r="H260" s="29" t="s">
        <v>367</v>
      </c>
      <c r="I260" s="29" t="s">
        <v>368</v>
      </c>
      <c r="J260" s="30">
        <v>4</v>
      </c>
      <c r="K260" s="31"/>
      <c r="L260" s="32" t="s">
        <v>76</v>
      </c>
      <c r="M260" s="18" t="str">
        <f t="shared" si="5"/>
        <v/>
      </c>
    </row>
    <row r="261" spans="1:13" ht="30" customHeight="1" x14ac:dyDescent="0.3">
      <c r="A261" s="34">
        <v>253</v>
      </c>
      <c r="B261" s="41" t="s">
        <v>173</v>
      </c>
      <c r="C261" s="35">
        <v>46342</v>
      </c>
      <c r="D261" s="36" t="s">
        <v>5</v>
      </c>
      <c r="E261" s="36" t="s">
        <v>134</v>
      </c>
      <c r="F261" s="41" t="s">
        <v>73</v>
      </c>
      <c r="G261" s="41" t="s">
        <v>334</v>
      </c>
      <c r="H261" s="37" t="s">
        <v>369</v>
      </c>
      <c r="I261" s="37" t="s">
        <v>370</v>
      </c>
      <c r="J261" s="38">
        <v>2.5</v>
      </c>
      <c r="K261" s="39"/>
      <c r="L261" s="40" t="s">
        <v>76</v>
      </c>
      <c r="M261" s="18" t="str">
        <f t="shared" si="5"/>
        <v/>
      </c>
    </row>
    <row r="262" spans="1:13" ht="30" customHeight="1" x14ac:dyDescent="0.3">
      <c r="A262" s="19">
        <v>256</v>
      </c>
      <c r="B262" s="19" t="s">
        <v>173</v>
      </c>
      <c r="C262" s="20">
        <v>46342</v>
      </c>
      <c r="D262" s="23" t="s">
        <v>6</v>
      </c>
      <c r="E262" s="23" t="s">
        <v>138</v>
      </c>
      <c r="F262" s="19" t="s">
        <v>73</v>
      </c>
      <c r="G262" s="19" t="s">
        <v>334</v>
      </c>
      <c r="H262" s="21" t="s">
        <v>369</v>
      </c>
      <c r="I262" s="21" t="s">
        <v>370</v>
      </c>
      <c r="J262" s="22">
        <v>2.5</v>
      </c>
      <c r="K262" s="24"/>
      <c r="L262" s="25" t="s">
        <v>76</v>
      </c>
      <c r="M262" s="18" t="str">
        <f t="shared" si="5"/>
        <v/>
      </c>
    </row>
    <row r="263" spans="1:13" ht="15" customHeight="1" x14ac:dyDescent="0.3">
      <c r="A263" s="19">
        <v>255</v>
      </c>
      <c r="B263" s="19" t="s">
        <v>173</v>
      </c>
      <c r="C263" s="20">
        <v>46342</v>
      </c>
      <c r="D263" s="23" t="s">
        <v>4</v>
      </c>
      <c r="E263" s="23" t="s">
        <v>137</v>
      </c>
      <c r="F263" s="19" t="s">
        <v>73</v>
      </c>
      <c r="G263" s="19" t="s">
        <v>334</v>
      </c>
      <c r="H263" s="21" t="s">
        <v>369</v>
      </c>
      <c r="I263" s="21" t="s">
        <v>370</v>
      </c>
      <c r="J263" s="22">
        <v>2.5</v>
      </c>
      <c r="K263" s="24"/>
      <c r="L263" s="25" t="s">
        <v>76</v>
      </c>
      <c r="M263" s="18" t="str">
        <f t="shared" si="5"/>
        <v/>
      </c>
    </row>
    <row r="264" spans="1:13" ht="15" customHeight="1" x14ac:dyDescent="0.3">
      <c r="A264" s="19">
        <v>254</v>
      </c>
      <c r="B264" s="19" t="s">
        <v>173</v>
      </c>
      <c r="C264" s="20">
        <v>46342</v>
      </c>
      <c r="D264" s="23" t="s">
        <v>3</v>
      </c>
      <c r="E264" s="23" t="s">
        <v>136</v>
      </c>
      <c r="F264" s="19" t="s">
        <v>73</v>
      </c>
      <c r="G264" s="19" t="s">
        <v>334</v>
      </c>
      <c r="H264" s="21" t="s">
        <v>369</v>
      </c>
      <c r="I264" s="21" t="s">
        <v>370</v>
      </c>
      <c r="J264" s="22">
        <v>2.5</v>
      </c>
      <c r="K264" s="24"/>
      <c r="L264" s="25" t="s">
        <v>76</v>
      </c>
      <c r="M264" s="18" t="str">
        <f t="shared" si="5"/>
        <v/>
      </c>
    </row>
    <row r="265" spans="1:13" ht="30" customHeight="1" x14ac:dyDescent="0.3">
      <c r="A265" s="19">
        <v>257</v>
      </c>
      <c r="B265" s="19" t="s">
        <v>173</v>
      </c>
      <c r="C265" s="20">
        <v>46343</v>
      </c>
      <c r="D265" s="23" t="s">
        <v>5</v>
      </c>
      <c r="E265" s="23" t="s">
        <v>134</v>
      </c>
      <c r="F265" s="19" t="s">
        <v>73</v>
      </c>
      <c r="G265" s="19" t="s">
        <v>334</v>
      </c>
      <c r="H265" s="21" t="s">
        <v>371</v>
      </c>
      <c r="I265" s="21" t="s">
        <v>372</v>
      </c>
      <c r="J265" s="22">
        <v>2.5</v>
      </c>
      <c r="K265" s="24"/>
      <c r="L265" s="25" t="s">
        <v>76</v>
      </c>
      <c r="M265" s="18" t="str">
        <f t="shared" si="5"/>
        <v/>
      </c>
    </row>
    <row r="266" spans="1:13" ht="30" customHeight="1" x14ac:dyDescent="0.3">
      <c r="A266" s="19">
        <v>260</v>
      </c>
      <c r="B266" s="19" t="s">
        <v>173</v>
      </c>
      <c r="C266" s="20">
        <v>46343</v>
      </c>
      <c r="D266" s="23" t="s">
        <v>6</v>
      </c>
      <c r="E266" s="23" t="s">
        <v>138</v>
      </c>
      <c r="F266" s="19" t="s">
        <v>73</v>
      </c>
      <c r="G266" s="19" t="s">
        <v>334</v>
      </c>
      <c r="H266" s="21" t="s">
        <v>371</v>
      </c>
      <c r="I266" s="21" t="s">
        <v>372</v>
      </c>
      <c r="J266" s="22">
        <v>2.5</v>
      </c>
      <c r="K266" s="24"/>
      <c r="L266" s="25" t="s">
        <v>76</v>
      </c>
      <c r="M266" s="18" t="str">
        <f t="shared" si="5"/>
        <v/>
      </c>
    </row>
    <row r="267" spans="1:13" ht="30" customHeight="1" x14ac:dyDescent="0.3">
      <c r="A267" s="19">
        <v>259</v>
      </c>
      <c r="B267" s="19" t="s">
        <v>173</v>
      </c>
      <c r="C267" s="20">
        <v>46343</v>
      </c>
      <c r="D267" s="23" t="s">
        <v>4</v>
      </c>
      <c r="E267" s="23" t="s">
        <v>137</v>
      </c>
      <c r="F267" s="19" t="s">
        <v>73</v>
      </c>
      <c r="G267" s="19" t="s">
        <v>334</v>
      </c>
      <c r="H267" s="21" t="s">
        <v>371</v>
      </c>
      <c r="I267" s="21" t="s">
        <v>372</v>
      </c>
      <c r="J267" s="22">
        <v>2.5</v>
      </c>
      <c r="K267" s="24"/>
      <c r="L267" s="25" t="s">
        <v>76</v>
      </c>
      <c r="M267" s="18" t="str">
        <f t="shared" si="5"/>
        <v/>
      </c>
    </row>
    <row r="268" spans="1:13" ht="30" customHeight="1" x14ac:dyDescent="0.3">
      <c r="A268" s="19">
        <v>258</v>
      </c>
      <c r="B268" s="19" t="s">
        <v>173</v>
      </c>
      <c r="C268" s="20">
        <v>46343</v>
      </c>
      <c r="D268" s="23" t="s">
        <v>3</v>
      </c>
      <c r="E268" s="23" t="s">
        <v>136</v>
      </c>
      <c r="F268" s="19" t="s">
        <v>73</v>
      </c>
      <c r="G268" s="19" t="s">
        <v>334</v>
      </c>
      <c r="H268" s="21" t="s">
        <v>371</v>
      </c>
      <c r="I268" s="21" t="s">
        <v>372</v>
      </c>
      <c r="J268" s="22">
        <v>2.5</v>
      </c>
      <c r="K268" s="24"/>
      <c r="L268" s="25" t="s">
        <v>76</v>
      </c>
      <c r="M268" s="18" t="str">
        <f t="shared" si="5"/>
        <v/>
      </c>
    </row>
    <row r="269" spans="1:13" ht="15" customHeight="1" x14ac:dyDescent="0.3">
      <c r="A269" s="34">
        <v>263</v>
      </c>
      <c r="B269" s="41" t="s">
        <v>173</v>
      </c>
      <c r="C269" s="35">
        <v>46346</v>
      </c>
      <c r="D269" s="43" t="s">
        <v>288</v>
      </c>
      <c r="E269" s="43" t="s">
        <v>289</v>
      </c>
      <c r="F269" s="41" t="s">
        <v>77</v>
      </c>
      <c r="G269" s="41" t="s">
        <v>373</v>
      </c>
      <c r="H269" s="37" t="s">
        <v>374</v>
      </c>
      <c r="I269" s="37" t="s">
        <v>375</v>
      </c>
      <c r="J269" s="38">
        <v>8</v>
      </c>
      <c r="K269" s="39"/>
      <c r="L269" s="40" t="s">
        <v>76</v>
      </c>
      <c r="M269" s="18" t="str">
        <f t="shared" si="5"/>
        <v/>
      </c>
    </row>
    <row r="270" spans="1:13" ht="30" customHeight="1" x14ac:dyDescent="0.3">
      <c r="A270" s="34">
        <v>261</v>
      </c>
      <c r="B270" s="41" t="s">
        <v>173</v>
      </c>
      <c r="C270" s="35">
        <v>46344</v>
      </c>
      <c r="D270" s="43" t="s">
        <v>288</v>
      </c>
      <c r="E270" s="43" t="s">
        <v>289</v>
      </c>
      <c r="F270" s="41" t="s">
        <v>81</v>
      </c>
      <c r="G270" s="41" t="s">
        <v>345</v>
      </c>
      <c r="H270" s="37" t="s">
        <v>376</v>
      </c>
      <c r="I270" s="37" t="s">
        <v>347</v>
      </c>
      <c r="J270" s="38">
        <v>4</v>
      </c>
      <c r="K270" s="39"/>
      <c r="L270" s="40" t="s">
        <v>76</v>
      </c>
      <c r="M270" s="18" t="str">
        <f t="shared" si="5"/>
        <v/>
      </c>
    </row>
    <row r="271" spans="1:13" ht="26.4" x14ac:dyDescent="0.3">
      <c r="A271" s="34">
        <v>270</v>
      </c>
      <c r="B271" s="41" t="s">
        <v>167</v>
      </c>
      <c r="C271" s="35">
        <v>46307</v>
      </c>
      <c r="D271" s="43" t="s">
        <v>288</v>
      </c>
      <c r="E271" s="43" t="s">
        <v>289</v>
      </c>
      <c r="F271" s="41" t="s">
        <v>81</v>
      </c>
      <c r="G271" s="41" t="s">
        <v>377</v>
      </c>
      <c r="H271" s="37" t="s">
        <v>378</v>
      </c>
      <c r="I271" s="37" t="s">
        <v>379</v>
      </c>
      <c r="J271" s="38">
        <v>0</v>
      </c>
      <c r="K271" s="39"/>
      <c r="L271" s="40" t="s">
        <v>76</v>
      </c>
      <c r="M271" s="18" t="str">
        <f t="shared" si="5"/>
        <v/>
      </c>
    </row>
    <row r="272" spans="1:13" ht="26.4" x14ac:dyDescent="0.3">
      <c r="A272" s="19">
        <v>271</v>
      </c>
      <c r="B272" s="19" t="s">
        <v>167</v>
      </c>
      <c r="C272" s="20">
        <v>46309</v>
      </c>
      <c r="D272" s="42" t="s">
        <v>288</v>
      </c>
      <c r="E272" s="42" t="s">
        <v>289</v>
      </c>
      <c r="F272" s="19" t="s">
        <v>81</v>
      </c>
      <c r="G272" s="19" t="s">
        <v>337</v>
      </c>
      <c r="H272" s="21" t="s">
        <v>338</v>
      </c>
      <c r="I272" s="21" t="s">
        <v>339</v>
      </c>
      <c r="J272" s="22">
        <v>1</v>
      </c>
      <c r="K272" s="24"/>
      <c r="L272" s="25" t="s">
        <v>76</v>
      </c>
      <c r="M272" s="18" t="str">
        <f t="shared" si="5"/>
        <v/>
      </c>
    </row>
    <row r="273" spans="1:13" ht="26.4" x14ac:dyDescent="0.3">
      <c r="A273" s="19">
        <v>272</v>
      </c>
      <c r="B273" s="19" t="s">
        <v>167</v>
      </c>
      <c r="C273" s="20">
        <v>46314</v>
      </c>
      <c r="D273" s="42" t="s">
        <v>288</v>
      </c>
      <c r="E273" s="42" t="s">
        <v>289</v>
      </c>
      <c r="F273" s="19" t="s">
        <v>81</v>
      </c>
      <c r="G273" s="19" t="s">
        <v>337</v>
      </c>
      <c r="H273" s="21" t="s">
        <v>338</v>
      </c>
      <c r="I273" s="21" t="s">
        <v>339</v>
      </c>
      <c r="J273" s="22">
        <v>1</v>
      </c>
      <c r="K273" s="24"/>
      <c r="L273" s="25" t="s">
        <v>76</v>
      </c>
      <c r="M273" s="18" t="str">
        <f t="shared" si="5"/>
        <v/>
      </c>
    </row>
    <row r="274" spans="1:13" ht="26.4" x14ac:dyDescent="0.3">
      <c r="A274" s="19">
        <v>273</v>
      </c>
      <c r="B274" s="19" t="s">
        <v>167</v>
      </c>
      <c r="C274" s="20">
        <v>46317</v>
      </c>
      <c r="D274" s="42" t="s">
        <v>288</v>
      </c>
      <c r="E274" s="42" t="s">
        <v>289</v>
      </c>
      <c r="F274" s="19" t="s">
        <v>81</v>
      </c>
      <c r="G274" s="19" t="s">
        <v>337</v>
      </c>
      <c r="H274" s="21" t="s">
        <v>338</v>
      </c>
      <c r="I274" s="21" t="s">
        <v>339</v>
      </c>
      <c r="J274" s="22">
        <v>1</v>
      </c>
      <c r="K274" s="24"/>
      <c r="L274" s="25" t="s">
        <v>76</v>
      </c>
      <c r="M274" s="18" t="str">
        <f t="shared" si="5"/>
        <v/>
      </c>
    </row>
    <row r="275" spans="1:13" ht="26.4" x14ac:dyDescent="0.3">
      <c r="A275" s="19">
        <v>274</v>
      </c>
      <c r="B275" s="19" t="s">
        <v>170</v>
      </c>
      <c r="C275" s="20">
        <v>46330</v>
      </c>
      <c r="D275" s="42" t="s">
        <v>288</v>
      </c>
      <c r="E275" s="42" t="s">
        <v>289</v>
      </c>
      <c r="F275" s="19" t="s">
        <v>81</v>
      </c>
      <c r="G275" s="19" t="s">
        <v>337</v>
      </c>
      <c r="H275" s="21" t="s">
        <v>338</v>
      </c>
      <c r="I275" s="21" t="s">
        <v>339</v>
      </c>
      <c r="J275" s="22">
        <v>1</v>
      </c>
      <c r="K275" s="24"/>
      <c r="L275" s="25" t="s">
        <v>76</v>
      </c>
      <c r="M275" s="18" t="str">
        <f t="shared" si="5"/>
        <v/>
      </c>
    </row>
    <row r="276" spans="1:13" x14ac:dyDescent="0.3">
      <c r="A276" s="19">
        <v>275</v>
      </c>
      <c r="B276" s="19" t="s">
        <v>167</v>
      </c>
      <c r="C276" s="20">
        <v>46314</v>
      </c>
      <c r="D276" s="23" t="s">
        <v>4</v>
      </c>
      <c r="E276" s="23" t="s">
        <v>137</v>
      </c>
      <c r="F276" s="19" t="s">
        <v>53</v>
      </c>
      <c r="G276" s="19" t="s">
        <v>310</v>
      </c>
      <c r="H276" s="21" t="s">
        <v>311</v>
      </c>
      <c r="I276" s="21" t="s">
        <v>312</v>
      </c>
      <c r="J276" s="22">
        <v>2</v>
      </c>
      <c r="K276" s="24"/>
      <c r="L276" s="25" t="s">
        <v>76</v>
      </c>
      <c r="M276" s="18" t="str">
        <f t="shared" si="5"/>
        <v/>
      </c>
    </row>
    <row r="277" spans="1:13" x14ac:dyDescent="0.3">
      <c r="A277" s="19">
        <v>276</v>
      </c>
      <c r="B277" s="19" t="s">
        <v>167</v>
      </c>
      <c r="C277" s="20">
        <v>46314</v>
      </c>
      <c r="D277" s="23" t="s">
        <v>3</v>
      </c>
      <c r="E277" s="23" t="s">
        <v>136</v>
      </c>
      <c r="F277" s="19" t="s">
        <v>53</v>
      </c>
      <c r="G277" s="19" t="s">
        <v>310</v>
      </c>
      <c r="H277" s="21" t="s">
        <v>311</v>
      </c>
      <c r="I277" s="21" t="s">
        <v>312</v>
      </c>
      <c r="J277" s="22">
        <v>2</v>
      </c>
      <c r="K277" s="24"/>
      <c r="L277" s="25" t="s">
        <v>76</v>
      </c>
      <c r="M277" s="18" t="str">
        <f t="shared" si="5"/>
        <v/>
      </c>
    </row>
  </sheetData>
  <conditionalFormatting sqref="K2:K270">
    <cfRule type="expression" dxfId="5" priority="1">
      <formula>AND($C2&lt;=FechaCorte,ISBLANK($K2))</formula>
    </cfRule>
  </conditionalFormatting>
  <conditionalFormatting sqref="L2:L270">
    <cfRule type="expression" dxfId="4" priority="2">
      <formula>$L2="Pendiente"</formula>
    </cfRule>
    <cfRule type="expression" dxfId="3" priority="3">
      <formula>$L2="En proceso"</formula>
    </cfRule>
    <cfRule type="expression" dxfId="2" priority="4">
      <formula>$L2="Completado"</formula>
    </cfRule>
    <cfRule type="expression" dxfId="1" priority="5">
      <formula>$L2="Bloqueado"</formula>
    </cfRule>
    <cfRule type="expression" dxfId="0" priority="6">
      <formula>$L2="Por confirmar"</formula>
    </cfRule>
  </conditionalFormatting>
  <dataValidations count="6">
    <dataValidation type="list" allowBlank="1" sqref="D2:D264" xr:uid="{00000000-0002-0000-0200-000000000000}">
      <formula1>"Francisco Valdez García,Sebastián Guerra Hernández,Pablo Valentín Varela Rivera,Marco Antonio de Jesús Oliva Santos,Equipo"</formula1>
      <formula2>0</formula2>
    </dataValidation>
    <dataValidation type="list" allowBlank="1" sqref="F2:F264" xr:uid="{00000000-0002-0000-0200-000001000000}">
      <formula1>"T01,T02,T03,T04,T05,T06,T07,T08,T09,T10,T11,T12,T13,T14"</formula1>
      <formula2>0</formula2>
    </dataValidation>
    <dataValidation type="list" allowBlank="1" sqref="L2:L264" xr:uid="{00000000-0002-0000-0200-000002000000}">
      <formula1>"Pendiente,En proceso,Completado,Bloqueado,Por confirmar"</formula1>
    </dataValidation>
    <dataValidation type="list" sqref="D265:D270" xr:uid="{00000000-0002-0000-0200-000003000000}">
      <formula1>"Francisco Valdez García,Sebastián Guerra Hernández,Pablo Valentín Varela Rivera,Marco Antonio de Jesús Oliva Santos,Equipo"</formula1>
    </dataValidation>
    <dataValidation type="list" sqref="F265:F270" xr:uid="{00000000-0002-0000-0200-000004000000}">
      <formula1>"T01,T02,T03,T04,T05,T06,T07,T08,T09,T10,T11,T12,T13,T14"</formula1>
    </dataValidation>
    <dataValidation type="list" sqref="L265:L270" xr:uid="{00000000-0002-0000-0200-000005000000}">
      <formula1>"Pendiente,En proceso,Completado,Bloqueado,Por confirmar"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baseColWidth="10" defaultColWidth="8.6640625" defaultRowHeight="14.4" x14ac:dyDescent="0.3"/>
  <cols>
    <col min="1" max="1" width="6" customWidth="1"/>
    <col min="2" max="2" width="44" customWidth="1"/>
    <col min="3" max="3" width="34" customWidth="1"/>
    <col min="4" max="4" width="22" customWidth="1"/>
    <col min="5" max="5" width="28" customWidth="1"/>
    <col min="6" max="6" width="9" customWidth="1"/>
    <col min="7" max="7" width="10" customWidth="1"/>
    <col min="8" max="8" width="9" customWidth="1"/>
    <col min="9" max="9" width="11" customWidth="1"/>
    <col min="10" max="10" width="9" customWidth="1"/>
    <col min="11" max="11" width="20" customWidth="1"/>
    <col min="12" max="12" width="30" customWidth="1"/>
  </cols>
  <sheetData>
    <row r="1" spans="1:12" ht="121.05" customHeight="1" x14ac:dyDescent="0.3">
      <c r="A1" s="6" t="s">
        <v>265</v>
      </c>
      <c r="B1" s="6" t="s">
        <v>380</v>
      </c>
      <c r="C1" s="6" t="s">
        <v>381</v>
      </c>
      <c r="D1" s="6" t="s">
        <v>382</v>
      </c>
      <c r="E1" s="6" t="s">
        <v>271</v>
      </c>
      <c r="F1" s="6" t="s">
        <v>383</v>
      </c>
      <c r="G1" s="6" t="s">
        <v>384</v>
      </c>
      <c r="H1" s="6" t="s">
        <v>385</v>
      </c>
      <c r="I1" s="6" t="s">
        <v>386</v>
      </c>
      <c r="J1" s="6" t="s">
        <v>387</v>
      </c>
      <c r="K1" s="6" t="s">
        <v>388</v>
      </c>
      <c r="L1" s="6" t="s">
        <v>389</v>
      </c>
    </row>
    <row r="2" spans="1:12" ht="30" customHeight="1" x14ac:dyDescent="0.3">
      <c r="A2" s="10" t="s">
        <v>29</v>
      </c>
      <c r="B2" s="5" t="s">
        <v>30</v>
      </c>
      <c r="C2" s="5" t="s">
        <v>390</v>
      </c>
      <c r="D2" s="5" t="s">
        <v>31</v>
      </c>
      <c r="E2" s="5" t="s">
        <v>391</v>
      </c>
      <c r="F2" s="16">
        <v>12</v>
      </c>
      <c r="G2" s="16">
        <v>0</v>
      </c>
      <c r="H2" s="16">
        <f t="shared" ref="H2:H15" si="0">F2+G2</f>
        <v>12</v>
      </c>
      <c r="I2" s="16">
        <f>SUMIF(Control_Diario!$F$2:$F$300,A2,Control_Diario!$J$2:$J$300)</f>
        <v>12</v>
      </c>
      <c r="J2" s="16">
        <f t="shared" ref="J2:J15" si="1">I2-H2</f>
        <v>0</v>
      </c>
      <c r="K2" s="16" t="s">
        <v>392</v>
      </c>
      <c r="L2" s="5" t="s">
        <v>5</v>
      </c>
    </row>
    <row r="3" spans="1:12" ht="30" customHeight="1" x14ac:dyDescent="0.3">
      <c r="A3" s="10" t="s">
        <v>34</v>
      </c>
      <c r="B3" s="5" t="s">
        <v>35</v>
      </c>
      <c r="C3" s="5" t="s">
        <v>393</v>
      </c>
      <c r="D3" s="5" t="s">
        <v>36</v>
      </c>
      <c r="E3" s="5" t="s">
        <v>394</v>
      </c>
      <c r="F3" s="16">
        <v>12</v>
      </c>
      <c r="G3" s="16">
        <v>0</v>
      </c>
      <c r="H3" s="16">
        <f t="shared" si="0"/>
        <v>12</v>
      </c>
      <c r="I3" s="16">
        <f>SUMIF(Control_Diario!$F$2:$F$300,A3,Control_Diario!$J$2:$J$300)</f>
        <v>12</v>
      </c>
      <c r="J3" s="16">
        <f t="shared" si="1"/>
        <v>0</v>
      </c>
      <c r="K3" s="16" t="s">
        <v>395</v>
      </c>
      <c r="L3" s="5" t="s">
        <v>4</v>
      </c>
    </row>
    <row r="4" spans="1:12" ht="30" customHeight="1" x14ac:dyDescent="0.3">
      <c r="A4" s="10" t="s">
        <v>38</v>
      </c>
      <c r="B4" s="5" t="s">
        <v>39</v>
      </c>
      <c r="C4" s="5" t="s">
        <v>396</v>
      </c>
      <c r="D4" s="5" t="s">
        <v>40</v>
      </c>
      <c r="E4" s="5" t="s">
        <v>397</v>
      </c>
      <c r="F4" s="16">
        <v>24</v>
      </c>
      <c r="G4" s="16">
        <v>0</v>
      </c>
      <c r="H4" s="16">
        <f t="shared" si="0"/>
        <v>24</v>
      </c>
      <c r="I4" s="16">
        <f>SUMIF(Control_Diario!$F$2:$F$300,A4,Control_Diario!$J$2:$J$300)</f>
        <v>24</v>
      </c>
      <c r="J4" s="16">
        <f t="shared" si="1"/>
        <v>0</v>
      </c>
      <c r="K4" s="16" t="s">
        <v>398</v>
      </c>
      <c r="L4" s="5" t="s">
        <v>3</v>
      </c>
    </row>
    <row r="5" spans="1:12" ht="30" customHeight="1" x14ac:dyDescent="0.3">
      <c r="A5" s="10" t="s">
        <v>42</v>
      </c>
      <c r="B5" s="5" t="s">
        <v>43</v>
      </c>
      <c r="C5" s="5" t="s">
        <v>399</v>
      </c>
      <c r="D5" s="5" t="s">
        <v>44</v>
      </c>
      <c r="E5" s="5" t="s">
        <v>400</v>
      </c>
      <c r="F5" s="16">
        <v>12</v>
      </c>
      <c r="G5" s="16">
        <v>0</v>
      </c>
      <c r="H5" s="16">
        <f t="shared" si="0"/>
        <v>12</v>
      </c>
      <c r="I5" s="16">
        <f>SUMIF(Control_Diario!$F$2:$F$300,A5,Control_Diario!$J$2:$J$300)</f>
        <v>14</v>
      </c>
      <c r="J5" s="16">
        <f t="shared" si="1"/>
        <v>2</v>
      </c>
      <c r="K5" s="16" t="s">
        <v>401</v>
      </c>
      <c r="L5" s="5" t="s">
        <v>5</v>
      </c>
    </row>
    <row r="6" spans="1:12" ht="30" customHeight="1" x14ac:dyDescent="0.3">
      <c r="A6" s="10" t="s">
        <v>46</v>
      </c>
      <c r="B6" s="5" t="s">
        <v>47</v>
      </c>
      <c r="C6" s="5" t="s">
        <v>402</v>
      </c>
      <c r="D6" s="5" t="s">
        <v>48</v>
      </c>
      <c r="E6" s="5" t="s">
        <v>403</v>
      </c>
      <c r="F6" s="16">
        <v>24</v>
      </c>
      <c r="G6" s="16">
        <v>0</v>
      </c>
      <c r="H6" s="16">
        <f t="shared" si="0"/>
        <v>24</v>
      </c>
      <c r="I6" s="16">
        <f>SUMIF(Control_Diario!$F$2:$F$300,A6,Control_Diario!$J$2:$J$300)</f>
        <v>24</v>
      </c>
      <c r="J6" s="16">
        <f t="shared" si="1"/>
        <v>0</v>
      </c>
      <c r="K6" s="16" t="s">
        <v>404</v>
      </c>
      <c r="L6" s="5" t="s">
        <v>4</v>
      </c>
    </row>
    <row r="7" spans="1:12" ht="30" customHeight="1" x14ac:dyDescent="0.3">
      <c r="A7" s="10" t="s">
        <v>49</v>
      </c>
      <c r="B7" s="5" t="s">
        <v>50</v>
      </c>
      <c r="C7" s="5" t="s">
        <v>405</v>
      </c>
      <c r="D7" s="5" t="s">
        <v>51</v>
      </c>
      <c r="E7" s="5" t="s">
        <v>406</v>
      </c>
      <c r="F7" s="16">
        <v>12</v>
      </c>
      <c r="G7" s="16">
        <v>0</v>
      </c>
      <c r="H7" s="16">
        <f t="shared" si="0"/>
        <v>12</v>
      </c>
      <c r="I7" s="16">
        <f>SUMIF(Control_Diario!$F$2:$F$300,A7,Control_Diario!$J$2:$J$300)</f>
        <v>12</v>
      </c>
      <c r="J7" s="16">
        <f t="shared" si="1"/>
        <v>0</v>
      </c>
      <c r="K7" s="16" t="s">
        <v>401</v>
      </c>
      <c r="L7" s="5" t="s">
        <v>3</v>
      </c>
    </row>
    <row r="8" spans="1:12" ht="30" customHeight="1" x14ac:dyDescent="0.3">
      <c r="A8" s="10" t="s">
        <v>53</v>
      </c>
      <c r="B8" s="5" t="s">
        <v>54</v>
      </c>
      <c r="C8" s="5" t="s">
        <v>407</v>
      </c>
      <c r="D8" s="5" t="s">
        <v>55</v>
      </c>
      <c r="E8" s="5" t="s">
        <v>408</v>
      </c>
      <c r="F8" s="16">
        <v>96</v>
      </c>
      <c r="G8" s="16">
        <v>0</v>
      </c>
      <c r="H8" s="16">
        <f t="shared" si="0"/>
        <v>96</v>
      </c>
      <c r="I8" s="16">
        <f>SUMIF(Control_Diario!$F$2:$F$300,A8,Control_Diario!$J$2:$J$300)</f>
        <v>90</v>
      </c>
      <c r="J8" s="16">
        <f t="shared" si="1"/>
        <v>-6</v>
      </c>
      <c r="K8" s="16" t="s">
        <v>409</v>
      </c>
      <c r="L8" s="5" t="s">
        <v>4</v>
      </c>
    </row>
    <row r="9" spans="1:12" ht="30" customHeight="1" x14ac:dyDescent="0.3">
      <c r="A9" s="10" t="s">
        <v>57</v>
      </c>
      <c r="B9" s="5" t="s">
        <v>58</v>
      </c>
      <c r="C9" s="5" t="s">
        <v>410</v>
      </c>
      <c r="D9" s="5" t="s">
        <v>59</v>
      </c>
      <c r="E9" s="5" t="s">
        <v>411</v>
      </c>
      <c r="F9" s="16">
        <v>36</v>
      </c>
      <c r="G9" s="16">
        <v>0</v>
      </c>
      <c r="H9" s="16">
        <f t="shared" si="0"/>
        <v>36</v>
      </c>
      <c r="I9" s="16">
        <f>SUMIF(Control_Diario!$F$2:$F$300,A9,Control_Diario!$J$2:$J$300)</f>
        <v>36</v>
      </c>
      <c r="J9" s="16">
        <f t="shared" si="1"/>
        <v>0</v>
      </c>
      <c r="K9" s="16" t="s">
        <v>412</v>
      </c>
      <c r="L9" s="5" t="s">
        <v>3</v>
      </c>
    </row>
    <row r="10" spans="1:12" ht="30" customHeight="1" x14ac:dyDescent="0.3">
      <c r="A10" s="10" t="s">
        <v>61</v>
      </c>
      <c r="B10" s="5" t="s">
        <v>62</v>
      </c>
      <c r="C10" s="5" t="s">
        <v>413</v>
      </c>
      <c r="D10" s="5" t="s">
        <v>63</v>
      </c>
      <c r="E10" s="5" t="s">
        <v>414</v>
      </c>
      <c r="F10" s="16">
        <v>18</v>
      </c>
      <c r="G10" s="16">
        <v>0</v>
      </c>
      <c r="H10" s="16">
        <f t="shared" si="0"/>
        <v>18</v>
      </c>
      <c r="I10" s="16">
        <f>SUMIF(Control_Diario!$F$2:$F$300,A10,Control_Diario!$J$2:$J$300)</f>
        <v>18</v>
      </c>
      <c r="J10" s="16">
        <f t="shared" si="1"/>
        <v>0</v>
      </c>
      <c r="K10" s="16" t="s">
        <v>415</v>
      </c>
      <c r="L10" s="5" t="s">
        <v>4</v>
      </c>
    </row>
    <row r="11" spans="1:12" ht="30" customHeight="1" x14ac:dyDescent="0.3">
      <c r="A11" s="10" t="s">
        <v>65</v>
      </c>
      <c r="B11" s="5" t="s">
        <v>66</v>
      </c>
      <c r="C11" s="5" t="s">
        <v>416</v>
      </c>
      <c r="D11" s="5" t="s">
        <v>67</v>
      </c>
      <c r="E11" s="5" t="s">
        <v>417</v>
      </c>
      <c r="F11" s="16">
        <v>30</v>
      </c>
      <c r="G11" s="16">
        <v>0</v>
      </c>
      <c r="H11" s="16">
        <f t="shared" si="0"/>
        <v>30</v>
      </c>
      <c r="I11" s="16">
        <f>SUMIF(Control_Diario!$F$2:$F$300,A11,Control_Diario!$J$2:$J$300)</f>
        <v>30</v>
      </c>
      <c r="J11" s="16">
        <f t="shared" si="1"/>
        <v>0</v>
      </c>
      <c r="K11" s="16" t="s">
        <v>418</v>
      </c>
      <c r="L11" s="5" t="s">
        <v>3</v>
      </c>
    </row>
    <row r="12" spans="1:12" ht="30" customHeight="1" x14ac:dyDescent="0.3">
      <c r="A12" s="10" t="s">
        <v>69</v>
      </c>
      <c r="B12" s="5" t="s">
        <v>70</v>
      </c>
      <c r="C12" s="5" t="s">
        <v>419</v>
      </c>
      <c r="D12" s="5" t="s">
        <v>71</v>
      </c>
      <c r="E12" s="5" t="s">
        <v>420</v>
      </c>
      <c r="F12" s="16">
        <v>12</v>
      </c>
      <c r="G12" s="16">
        <v>4</v>
      </c>
      <c r="H12" s="16">
        <f t="shared" si="0"/>
        <v>16</v>
      </c>
      <c r="I12" s="16">
        <f>SUMIF(Control_Diario!$F$2:$F$300,A12,Control_Diario!$J$2:$J$300)</f>
        <v>16</v>
      </c>
      <c r="J12" s="16">
        <f t="shared" si="1"/>
        <v>0</v>
      </c>
      <c r="K12" s="16" t="s">
        <v>421</v>
      </c>
      <c r="L12" s="5" t="s">
        <v>5</v>
      </c>
    </row>
    <row r="13" spans="1:12" ht="30" customHeight="1" x14ac:dyDescent="0.3">
      <c r="A13" s="10" t="s">
        <v>73</v>
      </c>
      <c r="B13" s="5" t="s">
        <v>74</v>
      </c>
      <c r="C13" s="5" t="s">
        <v>422</v>
      </c>
      <c r="D13" s="5" t="s">
        <v>75</v>
      </c>
      <c r="E13" s="5" t="s">
        <v>423</v>
      </c>
      <c r="F13" s="16">
        <v>12</v>
      </c>
      <c r="G13" s="16">
        <v>20</v>
      </c>
      <c r="H13" s="16">
        <f t="shared" si="0"/>
        <v>32</v>
      </c>
      <c r="I13" s="16">
        <f>SUMIF(Control_Diario!$F$2:$F$300,A13,Control_Diario!$J$2:$J$300)</f>
        <v>32</v>
      </c>
      <c r="J13" s="16">
        <f t="shared" si="1"/>
        <v>0</v>
      </c>
      <c r="K13" s="16" t="s">
        <v>424</v>
      </c>
      <c r="L13" s="5" t="s">
        <v>6</v>
      </c>
    </row>
    <row r="14" spans="1:12" ht="30" customHeight="1" x14ac:dyDescent="0.3">
      <c r="A14" s="10" t="s">
        <v>77</v>
      </c>
      <c r="B14" s="5" t="s">
        <v>78</v>
      </c>
      <c r="C14" s="5" t="s">
        <v>425</v>
      </c>
      <c r="D14" s="5" t="s">
        <v>79</v>
      </c>
      <c r="E14" s="5" t="s">
        <v>426</v>
      </c>
      <c r="F14" s="16">
        <v>0</v>
      </c>
      <c r="G14" s="16">
        <v>8</v>
      </c>
      <c r="H14" s="16">
        <f t="shared" si="0"/>
        <v>8</v>
      </c>
      <c r="I14" s="16">
        <f>SUMIF(Control_Diario!$F$2:$F$300,A14,Control_Diario!$J$2:$J$300)</f>
        <v>8</v>
      </c>
      <c r="J14" s="16">
        <f t="shared" si="1"/>
        <v>0</v>
      </c>
      <c r="K14" s="16" t="s">
        <v>427</v>
      </c>
      <c r="L14" s="5" t="s">
        <v>5</v>
      </c>
    </row>
    <row r="15" spans="1:12" ht="30" customHeight="1" x14ac:dyDescent="0.3">
      <c r="A15" s="10" t="s">
        <v>81</v>
      </c>
      <c r="B15" s="5" t="s">
        <v>82</v>
      </c>
      <c r="C15" s="5" t="s">
        <v>428</v>
      </c>
      <c r="D15" s="5" t="s">
        <v>83</v>
      </c>
      <c r="E15" s="5" t="s">
        <v>429</v>
      </c>
      <c r="F15" s="16">
        <v>60</v>
      </c>
      <c r="G15" s="16">
        <v>4</v>
      </c>
      <c r="H15" s="16">
        <f t="shared" si="0"/>
        <v>64</v>
      </c>
      <c r="I15" s="16">
        <f>SUMIF(Control_Diario!$F$2:$F$300,A15,Control_Diario!$J$2:$J$300)</f>
        <v>68</v>
      </c>
      <c r="J15" s="16">
        <f t="shared" si="1"/>
        <v>4</v>
      </c>
      <c r="K15" s="16" t="s">
        <v>430</v>
      </c>
      <c r="L15" s="5" t="s">
        <v>5</v>
      </c>
    </row>
    <row r="16" spans="1:12" x14ac:dyDescent="0.3">
      <c r="A16" s="12" t="s">
        <v>85</v>
      </c>
      <c r="F16" s="10">
        <f>SUM(F2:F15)</f>
        <v>360</v>
      </c>
      <c r="G16" s="10">
        <f>SUM(G2:G15)</f>
        <v>36</v>
      </c>
      <c r="H16" s="10">
        <f>SUM(H2:H15)</f>
        <v>396</v>
      </c>
      <c r="I16" s="10">
        <f>SUM(I2:I15)</f>
        <v>396</v>
      </c>
      <c r="J16">
        <f>SUM(J2:J15)</f>
        <v>0</v>
      </c>
    </row>
    <row r="18" spans="1:12" ht="34.049999999999997" customHeight="1" x14ac:dyDescent="0.3">
      <c r="A18" s="80" t="s">
        <v>431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</row>
  </sheetData>
  <mergeCells count="1">
    <mergeCell ref="A18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Portada</vt:lpstr>
      <vt:lpstr>PSR</vt:lpstr>
      <vt:lpstr>Control_Diario</vt:lpstr>
      <vt:lpstr>Plan_T01-T14</vt:lpstr>
      <vt:lpstr>FechaCorte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Guerra</dc:creator>
  <cp:lastModifiedBy>Sebastián Guerra</cp:lastModifiedBy>
  <dcterms:created xsi:type="dcterms:W3CDTF">2026-10-11T05:52:17Z</dcterms:created>
  <dcterms:modified xsi:type="dcterms:W3CDTF">2026-10-11T08:40:00Z</dcterms:modified>
</cp:coreProperties>
</file>