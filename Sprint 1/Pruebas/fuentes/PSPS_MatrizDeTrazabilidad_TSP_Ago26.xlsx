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Matriz" sheetId="2" state="visible" r:id="rId2"/>
    <sheet xmlns:r="http://schemas.openxmlformats.org/officeDocument/2006/relationships" name="Por CU" sheetId="3" state="visible" r:id="rId3"/>
    <sheet xmlns:r="http://schemas.openxmlformats.org/officeDocument/2006/relationships" name="Diseño" sheetId="4" state="visible" r:id="rId4"/>
    <sheet xmlns:r="http://schemas.openxmlformats.org/officeDocument/2006/relationships" name="Pruebas" sheetId="5" state="visible" r:id="rId5"/>
    <sheet xmlns:r="http://schemas.openxmlformats.org/officeDocument/2006/relationships" name="Contenidos" sheetId="6" state="visible" r:id="rId6"/>
    <sheet xmlns:r="http://schemas.openxmlformats.org/officeDocument/2006/relationships" name="Gamificación" sheetId="7" state="visible" r:id="rId7"/>
    <sheet xmlns:r="http://schemas.openxmlformats.org/officeDocument/2006/relationships" name="Cobertura inversa" sheetId="8" state="visible" r:id="rId8"/>
    <sheet xmlns:r="http://schemas.openxmlformats.org/officeDocument/2006/relationships" name="Plan e ISO" sheetId="9" state="visible" r:id="rId9"/>
    <sheet xmlns:r="http://schemas.openxmlformats.org/officeDocument/2006/relationships" name="Decisiones" sheetId="10" state="visible" r:id="rId10"/>
    <sheet xmlns:r="http://schemas.openxmlformats.org/officeDocument/2006/relationships" name="Hallazg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  <font>
      <b val="1"/>
      <color rgb="001F3864"/>
      <sz val="14"/>
    </font>
    <font>
      <b val="1"/>
    </font>
    <font>
      <b val="1"/>
      <color rgb="001F386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9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Matriz de trazabilidad — PSPS</t>
        </is>
      </c>
    </row>
    <row r="2">
      <c r="A2" t="inlineStr">
        <is>
          <t>Aplicación móvil educativa de Ingeniería de Software · Team Software Process · UAZ Campus Siglo XXI</t>
        </is>
      </c>
    </row>
    <row r="4">
      <c r="A4" s="2" t="inlineStr">
        <is>
          <t>Versión</t>
        </is>
      </c>
      <c r="B4" s="3" t="inlineStr">
        <is>
          <t>1.1 · 09/10/2026</t>
        </is>
      </c>
    </row>
    <row r="5">
      <c r="A5" s="2" t="inlineStr">
        <is>
          <t>Cambios</t>
        </is>
      </c>
      <c r="B5" s="3" t="inlineStr">
        <is>
          <t>Actualizada al SRS v0.4, SDS v0.3 (C01–C07), Plan de integración v1.1 y CR-01; sustituye a la versión 1.0 y al borrador del 05/10/2026.</t>
        </is>
      </c>
    </row>
    <row r="6">
      <c r="A6" s="2" t="inlineStr">
        <is>
          <t>Gestor del proyecto</t>
        </is>
      </c>
      <c r="B6" s="3" t="inlineStr">
        <is>
          <t>Francisco Valdez García</t>
        </is>
      </c>
    </row>
    <row r="7">
      <c r="A7" s="2" t="inlineStr">
        <is>
          <t>Cliente</t>
        </is>
      </c>
      <c r="B7" s="3" t="inlineStr">
        <is>
          <t>M. L. SIGG</t>
        </is>
      </c>
    </row>
    <row r="8">
      <c r="A8" s="2" t="inlineStr">
        <is>
          <t>Base documental</t>
        </is>
      </c>
      <c r="B8" s="3" t="inlineStr">
        <is>
          <t>Agreement 11/09/2026 · Project Plan 24/09/2026 · SRS v0.4 · SDS v0.3 · Plan de integración v1.1 · CR-01</t>
        </is>
      </c>
    </row>
    <row r="9">
      <c r="A9" s="2" t="inlineStr">
        <is>
          <t>Estado</t>
        </is>
      </c>
      <c r="B9" s="3" t="inlineStr">
        <is>
          <t>Requisitos especificados, sin línea base. Código y pruebas sin evidencia registrada en el repositorio.</t>
        </is>
      </c>
    </row>
    <row r="10">
      <c r="A10" s="2" t="inlineStr">
        <is>
          <t>Cadena</t>
        </is>
      </c>
      <c r="B10" s="3" t="inlineStr">
        <is>
          <t>Agreement / Project Plan → RN → RF / RNF → CU → CA → componente (C) → etapa de integración → código → TU / TI / INS / VC → guía (GO)</t>
        </is>
      </c>
    </row>
    <row r="12">
      <c r="A12" s="4" t="inlineStr">
        <is>
          <t>Resumen (se calcula solo)</t>
        </is>
      </c>
    </row>
    <row r="13">
      <c r="A13" t="inlineStr">
        <is>
          <t>Requisitos funcionales</t>
        </is>
      </c>
      <c r="B13">
        <f>COUNTIF(Matriz!C5:C40,"RF")</f>
        <v/>
      </c>
    </row>
    <row r="14">
      <c r="A14" t="inlineStr">
        <is>
          <t>Requisitos no funcionales</t>
        </is>
      </c>
      <c r="B14">
        <f>COUNTIF(Matriz!C5:C40,"RNF")</f>
        <v/>
      </c>
    </row>
    <row r="15">
      <c r="A15" t="inlineStr">
        <is>
          <t>Entregables</t>
        </is>
      </c>
      <c r="B15">
        <f>COUNTIF(Matriz!C5:C40,"ENT")</f>
        <v/>
      </c>
    </row>
    <row r="16">
      <c r="A16" t="inlineStr">
        <is>
          <t>Pruebas especificadas</t>
        </is>
      </c>
      <c r="B16">
        <f>COUNTA(Pruebas!A5:A60)</f>
        <v/>
      </c>
    </row>
    <row r="17">
      <c r="A17" t="inlineStr">
        <is>
          <t>Pruebas aprobadas</t>
        </is>
      </c>
      <c r="B17">
        <f>COUNTIF(Pruebas!J5:J60,"Aprobada")</f>
        <v/>
      </c>
    </row>
    <row r="18">
      <c r="A18" t="inlineStr">
        <is>
          <t>Pruebas fallidas</t>
        </is>
      </c>
      <c r="B18">
        <f>COUNTIF(Pruebas!J5:J60,"Fallida")</f>
        <v/>
      </c>
    </row>
    <row r="19">
      <c r="A19" t="inlineStr">
        <is>
          <t>Avance de pruebas</t>
        </is>
      </c>
      <c r="B19" s="5">
        <f>IF(B16=0,0,B17/B16)</f>
        <v/>
      </c>
    </row>
    <row r="20">
      <c r="A20" t="inlineStr">
        <is>
          <t>Decisiones abiertas</t>
        </is>
      </c>
      <c r="B20">
        <f>COUNTIF(Decisiones!F5:F20,"Abierta")</f>
        <v/>
      </c>
    </row>
    <row r="21">
      <c r="A21" t="inlineStr">
        <is>
          <t>Hallazgos de severidad alta</t>
        </is>
      </c>
      <c r="B21">
        <f>COUNTIF(Hallazgos!F5:F30,"Alta")</f>
        <v/>
      </c>
    </row>
    <row r="23">
      <c r="A23" s="4" t="inlineStr">
        <is>
          <t>Leyenda</t>
        </is>
      </c>
    </row>
    <row r="24">
      <c r="A24" s="2" t="inlineStr">
        <is>
          <t>RN / RF / RNF / ENT</t>
        </is>
      </c>
      <c r="B24" s="3" t="inlineStr">
        <is>
          <t>Necesidad / requisito funcional / no funcional / entregable (SRS §2–4).</t>
        </is>
      </c>
    </row>
    <row r="25">
      <c r="A25" s="2" t="inlineStr">
        <is>
          <t>CU / CA / RP / CT / G</t>
        </is>
      </c>
      <c r="B25" s="3" t="inlineStr">
        <is>
          <t>Caso de uso / criterio de aceptación / regla propuesta / contenido / gamificación.</t>
        </is>
      </c>
    </row>
    <row r="26">
      <c r="A26" s="2" t="inlineStr">
        <is>
          <t>C01–C07</t>
        </is>
      </c>
      <c r="B26" s="3" t="inlineStr">
        <is>
          <t>Componentes del SDS v0.3.</t>
        </is>
      </c>
    </row>
    <row r="27">
      <c r="A27" s="2" t="inlineStr">
        <is>
          <t>Etapa</t>
        </is>
      </c>
      <c r="B27" s="3" t="inlineStr">
        <is>
          <t>Etapa del Plan de integración v1.1 (1 a 7).</t>
        </is>
      </c>
    </row>
    <row r="28">
      <c r="A28" s="2" t="inlineStr">
        <is>
          <t>TU / TI / INS / VC</t>
        </is>
      </c>
      <c r="B28" s="3" t="inlineStr">
        <is>
          <t>Prueba unitaria / de integración / inspección / validación con la cliente.</t>
        </is>
      </c>
    </row>
    <row r="29">
      <c r="A29" s="2" t="inlineStr">
        <is>
          <t>GO-01 a GO-05</t>
        </is>
      </c>
      <c r="B29" s="3" t="inlineStr">
        <is>
          <t>Guía: instalar · navegar y estudiar · actividades · puntos y logros · avance.</t>
        </is>
      </c>
    </row>
    <row r="30">
      <c r="A30" s="2" t="inlineStr">
        <is>
          <t>Celdas amarillas</t>
        </is>
      </c>
      <c r="B30" s="3" t="inlineStr">
        <is>
          <t>Se llenan solo con evidencia real: commit, resultado, fecha y captura.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7" customWidth="1" min="3" max="3"/>
    <col width="13" customWidth="1" min="4" max="4"/>
    <col width="22" customWidth="1" min="5" max="5"/>
    <col width="13" customWidth="1" min="6" max="6"/>
    <col width="24" customWidth="1" min="7" max="7"/>
    <col width="18" customWidth="1" min="8" max="8"/>
    <col width="14" customWidth="1" min="9" max="9"/>
    <col width="11" customWidth="1" min="10" max="10"/>
    <col width="22" customWidth="1" min="11" max="11"/>
    <col width="14" customWidth="1" min="12" max="12"/>
    <col width="18" customWidth="1" min="13" max="13"/>
    <col width="12" customWidth="1" min="14" max="14"/>
    <col width="14" customWidth="1" min="15" max="15"/>
    <col width="12" customWidth="1" min="16" max="16"/>
    <col width="24" customWidth="1" min="17" max="17"/>
    <col width="18" customWidth="1" min="18" max="18"/>
    <col width="13" customWidth="1" min="19" max="19"/>
    <col width="36" customWidth="1" min="20" max="20"/>
  </cols>
  <sheetData>
    <row r="1">
      <c r="A1" s="6" t="inlineStr">
        <is>
          <t>Matriz de trazabilidad principal — PSPS</t>
        </is>
      </c>
    </row>
    <row r="2">
      <c r="A2" s="7" t="inlineStr">
        <is>
          <t>Requisito → caso de uso → criterio → componente → etapa → código → pruebas → guía. Las celdas amarillas se llenan con evidencia real.</t>
        </is>
      </c>
    </row>
    <row r="4">
      <c r="A4" s="8" t="inlineStr">
        <is>
          <t>ID</t>
        </is>
      </c>
      <c r="B4" s="8" t="inlineStr">
        <is>
          <t>Requisito</t>
        </is>
      </c>
      <c r="C4" s="8" t="inlineStr">
        <is>
          <t>Tipo</t>
        </is>
      </c>
      <c r="D4" s="8" t="inlineStr">
        <is>
          <t>Necesidad (RN)</t>
        </is>
      </c>
      <c r="E4" s="8" t="inlineStr">
        <is>
          <t>Fuente</t>
        </is>
      </c>
      <c r="F4" s="8" t="inlineStr">
        <is>
          <t>Caso de uso</t>
        </is>
      </c>
      <c r="G4" s="8" t="inlineStr">
        <is>
          <t>Criterio de aceptación / regla</t>
        </is>
      </c>
      <c r="H4" s="8" t="inlineStr">
        <is>
          <t>Contenido / gamificación</t>
        </is>
      </c>
      <c r="I4" s="8" t="inlineStr">
        <is>
          <t>Componente SDS v0.3</t>
        </is>
      </c>
      <c r="J4" s="8" t="inlineStr">
        <is>
          <t>Etapa de integración</t>
        </is>
      </c>
      <c r="K4" s="8" t="inlineStr">
        <is>
          <t>Código (ruta / commit)</t>
        </is>
      </c>
      <c r="L4" s="8" t="inlineStr">
        <is>
          <t>Pruebas unitarias</t>
        </is>
      </c>
      <c r="M4" s="8" t="inlineStr">
        <is>
          <t>Integración / inspección / validación</t>
        </is>
      </c>
      <c r="N4" s="8" t="inlineStr">
        <is>
          <t>Guía de operación</t>
        </is>
      </c>
      <c r="O4" s="8" t="inlineStr">
        <is>
          <t>Tarea del Plan</t>
        </is>
      </c>
      <c r="P4" s="8" t="inlineStr">
        <is>
          <t>Decisión pendiente</t>
        </is>
      </c>
      <c r="Q4" s="8" t="inlineStr">
        <is>
          <t>Estado requisito</t>
        </is>
      </c>
      <c r="R4" s="8" t="inlineStr">
        <is>
          <t>Estado código</t>
        </is>
      </c>
      <c r="S4" s="8" t="inlineStr">
        <is>
          <t>Estado pruebas</t>
        </is>
      </c>
      <c r="T4" s="8" t="inlineStr">
        <is>
          <t>Observaciones</t>
        </is>
      </c>
    </row>
    <row r="5">
      <c r="A5" s="9" t="inlineStr">
        <is>
          <t>RF-01</t>
        </is>
      </c>
      <c r="B5" s="9" t="inlineStr">
        <is>
          <t>Explorar módulos y contenidos</t>
        </is>
      </c>
      <c r="C5" s="9" t="inlineStr">
        <is>
          <t>RF</t>
        </is>
      </c>
      <c r="D5" s="9" t="inlineStr">
        <is>
          <t>RN-02, RN-03</t>
        </is>
      </c>
      <c r="E5" s="9" t="inlineStr">
        <is>
          <t>Agreement §4 · SRS §3</t>
        </is>
      </c>
      <c r="F5" s="9" t="inlineStr">
        <is>
          <t>CU-05</t>
        </is>
      </c>
      <c r="G5" s="9" t="inlineStr">
        <is>
          <t>CA-01</t>
        </is>
      </c>
      <c r="H5" s="9" t="inlineStr">
        <is>
          <t>CT-01 a CT-10</t>
        </is>
      </c>
      <c r="I5" s="9" t="inlineStr">
        <is>
          <t>C01, C02</t>
        </is>
      </c>
      <c r="J5" s="9" t="inlineStr">
        <is>
          <t>2, 4</t>
        </is>
      </c>
      <c r="K5" s="10" t="inlineStr">
        <is>
          <t>Pendiente: enlazar archivo o commit</t>
        </is>
      </c>
      <c r="L5" s="9" t="inlineStr">
        <is>
          <t>TU-05, TU-06</t>
        </is>
      </c>
      <c r="M5" s="9" t="inlineStr">
        <is>
          <t>TI-01</t>
        </is>
      </c>
      <c r="N5" s="9" t="inlineStr">
        <is>
          <t>GO-02</t>
        </is>
      </c>
      <c r="O5" s="9" t="inlineStr">
        <is>
          <t>T05, T07, T09</t>
        </is>
      </c>
      <c r="P5" s="9" t="inlineStr">
        <is>
          <t>D-01</t>
        </is>
      </c>
      <c r="Q5" s="9" t="inlineStr">
        <is>
          <t>Especificado en SRS v0.4; validación pendiente</t>
        </is>
      </c>
      <c r="R5" s="10" t="inlineStr">
        <is>
          <t>Reportado (MR-07)</t>
        </is>
      </c>
      <c r="S5" s="10" t="inlineStr">
        <is>
          <t>Sin ejecutar</t>
        </is>
      </c>
      <c r="T5" s="9" t="inlineStr">
        <is>
          <t>Consultar no modifica el avance.</t>
        </is>
      </c>
    </row>
    <row r="6">
      <c r="A6" s="9" t="inlineStr">
        <is>
          <t>RF-02</t>
        </is>
      </c>
      <c r="B6" s="9" t="inlineStr">
        <is>
          <t>Estudiar y completar un subtema</t>
        </is>
      </c>
      <c r="C6" s="9" t="inlineStr">
        <is>
          <t>RF</t>
        </is>
      </c>
      <c r="D6" s="9" t="inlineStr">
        <is>
          <t>RN-01, RN-03</t>
        </is>
      </c>
      <c r="E6" s="9" t="inlineStr">
        <is>
          <t>Agreement §4 · SRS §3, §5.1</t>
        </is>
      </c>
      <c r="F6" s="9" t="inlineStr">
        <is>
          <t>CU-01</t>
        </is>
      </c>
      <c r="G6" s="9" t="inlineStr">
        <is>
          <t>CA-02, RP-02</t>
        </is>
      </c>
      <c r="H6" s="9" t="inlineStr">
        <is>
          <t>CT-01 a CT-10</t>
        </is>
      </c>
      <c r="I6" s="9" t="inlineStr">
        <is>
          <t>C01, C03, C07</t>
        </is>
      </c>
      <c r="J6" s="9" t="inlineStr">
        <is>
          <t>4</t>
        </is>
      </c>
      <c r="K6" s="10" t="inlineStr">
        <is>
          <t>Pendiente: enlazar archivo o commit</t>
        </is>
      </c>
      <c r="L6" s="9" t="inlineStr">
        <is>
          <t>TU-01 a TU-04</t>
        </is>
      </c>
      <c r="M6" s="9" t="inlineStr">
        <is>
          <t>TI-02</t>
        </is>
      </c>
      <c r="N6" s="9" t="inlineStr">
        <is>
          <t>GO-02</t>
        </is>
      </c>
      <c r="O6" s="9" t="inlineStr">
        <is>
          <t>T05, T07, T09</t>
        </is>
      </c>
      <c r="P6" s="9" t="inlineStr">
        <is>
          <t>D-01</t>
        </is>
      </c>
      <c r="Q6" s="9" t="inlineStr">
        <is>
          <t>Especificado en SRS v0.4; validación pendiente</t>
        </is>
      </c>
      <c r="R6" s="10" t="inlineStr">
        <is>
          <t>Reportado (MR-07)</t>
        </is>
      </c>
      <c r="S6" s="10" t="inlineStr">
        <is>
          <t>Sin ejecutar</t>
        </is>
      </c>
      <c r="T6" s="9" t="inlineStr">
        <is>
          <t>Toda pregunta respondida cuenta, sea correcta o incorrecta; cada ID cuenta una vez.</t>
        </is>
      </c>
    </row>
    <row r="7">
      <c r="A7" s="9" t="inlineStr">
        <is>
          <t>RF-03</t>
        </is>
      </c>
      <c r="B7" s="9" t="inlineStr">
        <is>
          <t>Realizar una actividad interactiva</t>
        </is>
      </c>
      <c r="C7" s="9" t="inlineStr">
        <is>
          <t>RF</t>
        </is>
      </c>
      <c r="D7" s="9" t="inlineStr">
        <is>
          <t>RN-01</t>
        </is>
      </c>
      <c r="E7" s="9" t="inlineStr">
        <is>
          <t>Agreement §4 · SRS §3</t>
        </is>
      </c>
      <c r="F7" s="9" t="inlineStr">
        <is>
          <t>CU-02</t>
        </is>
      </c>
      <c r="G7" s="9" t="inlineStr">
        <is>
          <t>CA-03, RP-03, RP-04</t>
        </is>
      </c>
      <c r="H7" s="9" t="inlineStr">
        <is>
          <t>G-01, G-02</t>
        </is>
      </c>
      <c r="I7" s="9" t="inlineStr">
        <is>
          <t>C01, C05, C06</t>
        </is>
      </c>
      <c r="J7" s="9" t="inlineStr">
        <is>
          <t>6</t>
        </is>
      </c>
      <c r="K7" s="10" t="inlineStr">
        <is>
          <t>Pendiente: enlazar archivo o commit</t>
        </is>
      </c>
      <c r="L7" s="9" t="inlineStr">
        <is>
          <t>TU-11, TU-12</t>
        </is>
      </c>
      <c r="M7" s="9" t="inlineStr">
        <is>
          <t>TI-04</t>
        </is>
      </c>
      <c r="N7" s="9" t="inlineStr">
        <is>
          <t>GO-03</t>
        </is>
      </c>
      <c r="O7" s="9" t="inlineStr">
        <is>
          <t>T05, T07, T09</t>
        </is>
      </c>
      <c r="P7" s="9" t="inlineStr">
        <is>
          <t>D-01, D-02</t>
        </is>
      </c>
      <c r="Q7" s="9" t="inlineStr">
        <is>
          <t>Especificado en SRS v0.4; validación pendiente</t>
        </is>
      </c>
      <c r="R7" s="10" t="inlineStr">
        <is>
          <t>Reportado (MR-07)</t>
        </is>
      </c>
      <c r="S7" s="10" t="inlineStr">
        <is>
          <t>Sin ejecutar</t>
        </is>
      </c>
      <c r="T7" s="9" t="inlineStr">
        <is>
          <t>Opcional; se registra al completar todos sus elementos, sin acción «Finalizar».</t>
        </is>
      </c>
    </row>
    <row r="8">
      <c r="A8" s="9" t="inlineStr">
        <is>
          <t>RF-04</t>
        </is>
      </c>
      <c r="B8" s="9" t="inlineStr">
        <is>
          <t>Consultar el progreso del recorrido</t>
        </is>
      </c>
      <c r="C8" s="9" t="inlineStr">
        <is>
          <t>RF</t>
        </is>
      </c>
      <c r="D8" s="9" t="inlineStr">
        <is>
          <t>RN-04</t>
        </is>
      </c>
      <c r="E8" s="9" t="inlineStr">
        <is>
          <t>Agreement §4 · SRS §3, §5.1</t>
        </is>
      </c>
      <c r="F8" s="9" t="inlineStr">
        <is>
          <t>CU-03</t>
        </is>
      </c>
      <c r="G8" s="9" t="inlineStr">
        <is>
          <t>CA-04 (ampliado)</t>
        </is>
      </c>
      <c r="H8" s="9" t="inlineStr">
        <is>
          <t>—</t>
        </is>
      </c>
      <c r="I8" s="9" t="inlineStr">
        <is>
          <t>C01, C04</t>
        </is>
      </c>
      <c r="J8" s="9" t="inlineStr">
        <is>
          <t>5</t>
        </is>
      </c>
      <c r="K8" s="10" t="inlineStr">
        <is>
          <t>Pendiente: enlazar archivo o commit</t>
        </is>
      </c>
      <c r="L8" s="9" t="inlineStr">
        <is>
          <t>TU-07, TU-08</t>
        </is>
      </c>
      <c r="M8" s="9" t="inlineStr">
        <is>
          <t>TI-02</t>
        </is>
      </c>
      <c r="N8" s="9" t="inlineStr">
        <is>
          <t>GO-05</t>
        </is>
      </c>
      <c r="O8" s="9" t="inlineStr">
        <is>
          <t>T05, T07, T09</t>
        </is>
      </c>
      <c r="P8" s="9" t="inlineStr">
        <is>
          <t>—</t>
        </is>
      </c>
      <c r="Q8" s="9" t="inlineStr">
        <is>
          <t>Especificado en SRS v0.4; validación pendiente</t>
        </is>
      </c>
      <c r="R8" s="10" t="inlineStr">
        <is>
          <t>Reportado (MR-07)</t>
        </is>
      </c>
      <c r="S8" s="10" t="inlineStr">
        <is>
          <t>Sin ejecutar</t>
        </is>
      </c>
      <c r="T8" s="9" t="inlineStr">
        <is>
          <t>Gris, naranja y verde con texto e ícono.</t>
        </is>
      </c>
    </row>
    <row r="9">
      <c r="A9" s="9" t="inlineStr">
        <is>
          <t>RF-05</t>
        </is>
      </c>
      <c r="B9" s="9" t="inlineStr">
        <is>
          <t>Completar temas y módulos</t>
        </is>
      </c>
      <c r="C9" s="9" t="inlineStr">
        <is>
          <t>RF</t>
        </is>
      </c>
      <c r="D9" s="9" t="inlineStr">
        <is>
          <t>RN-04</t>
        </is>
      </c>
      <c r="E9" s="9" t="inlineStr">
        <is>
          <t>Agreement §4 · SRS §3, §5.1</t>
        </is>
      </c>
      <c r="F9" s="9" t="inlineStr">
        <is>
          <t>CU-04</t>
        </is>
      </c>
      <c r="G9" s="9" t="inlineStr">
        <is>
          <t>CA-05</t>
        </is>
      </c>
      <c r="H9" s="9" t="inlineStr">
        <is>
          <t>—</t>
        </is>
      </c>
      <c r="I9" s="9" t="inlineStr">
        <is>
          <t>C04</t>
        </is>
      </c>
      <c r="J9" s="9" t="inlineStr">
        <is>
          <t>5</t>
        </is>
      </c>
      <c r="K9" s="10" t="inlineStr">
        <is>
          <t>Pendiente: enlazar archivo o commit</t>
        </is>
      </c>
      <c r="L9" s="9" t="inlineStr">
        <is>
          <t>TU-09, TU-10</t>
        </is>
      </c>
      <c r="M9" s="9" t="inlineStr">
        <is>
          <t>TI-03</t>
        </is>
      </c>
      <c r="N9" s="9" t="inlineStr">
        <is>
          <t>GO-05</t>
        </is>
      </c>
      <c r="O9" s="9" t="inlineStr">
        <is>
          <t>T05, T07, T09</t>
        </is>
      </c>
      <c r="P9" s="9" t="inlineStr">
        <is>
          <t>—</t>
        </is>
      </c>
      <c r="Q9" s="9" t="inlineStr">
        <is>
          <t>Especificado en SRS v0.4; validación pendiente</t>
        </is>
      </c>
      <c r="R9" s="10" t="inlineStr">
        <is>
          <t>Reportado (MR-07)</t>
        </is>
      </c>
      <c r="S9" s="10" t="inlineStr">
        <is>
          <t>Sin ejecutar</t>
        </is>
      </c>
      <c r="T9" s="9" t="inlineStr">
        <is>
          <t>Las actividades no condicionan la finalización.</t>
        </is>
      </c>
    </row>
    <row r="10">
      <c r="A10" s="9" t="inlineStr">
        <is>
          <t>RF-06</t>
        </is>
      </c>
      <c r="B10" s="9" t="inlineStr">
        <is>
          <t>Consultar logros obtenidos</t>
        </is>
      </c>
      <c r="C10" s="9" t="inlineStr">
        <is>
          <t>RF</t>
        </is>
      </c>
      <c r="D10" s="9" t="inlineStr">
        <is>
          <t>RN-01</t>
        </is>
      </c>
      <c r="E10" s="9" t="inlineStr">
        <is>
          <t>Agreement §4 · SRS §3</t>
        </is>
      </c>
      <c r="F10" s="9" t="inlineStr">
        <is>
          <t>CU-06</t>
        </is>
      </c>
      <c r="G10" s="9" t="inlineStr">
        <is>
          <t>CA-06</t>
        </is>
      </c>
      <c r="H10" s="9" t="inlineStr">
        <is>
          <t>G-02</t>
        </is>
      </c>
      <c r="I10" s="9" t="inlineStr">
        <is>
          <t>C01, C06</t>
        </is>
      </c>
      <c r="J10" s="9" t="inlineStr">
        <is>
          <t>6</t>
        </is>
      </c>
      <c r="K10" s="10" t="inlineStr">
        <is>
          <t>Pendiente: enlazar archivo o commit</t>
        </is>
      </c>
      <c r="L10" s="9" t="inlineStr">
        <is>
          <t>TU-13</t>
        </is>
      </c>
      <c r="M10" s="9" t="inlineStr">
        <is>
          <t>TI-05</t>
        </is>
      </c>
      <c r="N10" s="9" t="inlineStr">
        <is>
          <t>GO-04</t>
        </is>
      </c>
      <c r="O10" s="9" t="inlineStr">
        <is>
          <t>T05, T07, T09</t>
        </is>
      </c>
      <c r="P10" s="9" t="inlineStr">
        <is>
          <t>D-02</t>
        </is>
      </c>
      <c r="Q10" s="9" t="inlineStr">
        <is>
          <t>Especificado en SRS v0.4; validación pendiente</t>
        </is>
      </c>
      <c r="R10" s="10" t="inlineStr">
        <is>
          <t>Solo pantalla (SDS §5.3)</t>
        </is>
      </c>
      <c r="S10" s="10" t="inlineStr">
        <is>
          <t>Sin ejecutar</t>
        </is>
      </c>
      <c r="T10" s="9" t="inlineStr">
        <is>
          <t>Obtención de logros planeada en el Sprint 02.</t>
        </is>
      </c>
    </row>
    <row r="11">
      <c r="A11" s="9" t="inlineStr">
        <is>
          <t>RF-07</t>
        </is>
      </c>
      <c r="B11" s="9" t="inlineStr">
        <is>
          <t>Aplicar desbloqueos de gamificación</t>
        </is>
      </c>
      <c r="C11" s="9" t="inlineStr">
        <is>
          <t>RF</t>
        </is>
      </c>
      <c r="D11" s="9" t="inlineStr">
        <is>
          <t>RN-01</t>
        </is>
      </c>
      <c r="E11" s="9" t="inlineStr">
        <is>
          <t>Agreement §4 · SRS §3, §5.2</t>
        </is>
      </c>
      <c r="F11" s="9" t="inlineStr">
        <is>
          <t>—</t>
        </is>
      </c>
      <c r="G11" s="9" t="inlineStr">
        <is>
          <t>Por definir al aprobarse</t>
        </is>
      </c>
      <c r="H11" s="9" t="inlineStr">
        <is>
          <t>G-03</t>
        </is>
      </c>
      <c r="I11" s="9" t="inlineStr">
        <is>
          <t>C06</t>
        </is>
      </c>
      <c r="J11" s="9" t="inlineStr">
        <is>
          <t>6</t>
        </is>
      </c>
      <c r="K11" s="10" t="inlineStr">
        <is>
          <t>Pendiente: enlazar archivo o commit</t>
        </is>
      </c>
      <c r="L11" s="9" t="inlineStr">
        <is>
          <t>—</t>
        </is>
      </c>
      <c r="M11" s="9" t="inlineStr">
        <is>
          <t>—</t>
        </is>
      </c>
      <c r="N11" s="9" t="inlineStr">
        <is>
          <t>GO-04</t>
        </is>
      </c>
      <c r="O11" s="9" t="inlineStr">
        <is>
          <t>T03, T04</t>
        </is>
      </c>
      <c r="P11" s="9" t="inlineStr">
        <is>
          <t>D-02</t>
        </is>
      </c>
      <c r="Q11" s="9" t="inlineStr">
        <is>
          <t>Pendiente de validación (D-02)</t>
        </is>
      </c>
      <c r="R11" s="10" t="inlineStr">
        <is>
          <t>Pendiente</t>
        </is>
      </c>
      <c r="S11" s="10" t="inlineStr">
        <is>
          <t>Sin ejecutar</t>
        </is>
      </c>
      <c r="T11" s="9" t="inlineStr">
        <is>
          <t>Fuera de la línea base hasta su validación.</t>
        </is>
      </c>
    </row>
    <row r="12">
      <c r="A12" s="9" t="inlineStr">
        <is>
          <t>RF-08</t>
        </is>
      </c>
      <c r="B12" s="9" t="inlineStr">
        <is>
          <t>Guardar y recuperar el estado local</t>
        </is>
      </c>
      <c r="C12" s="9" t="inlineStr">
        <is>
          <t>RF</t>
        </is>
      </c>
      <c r="D12" s="9" t="inlineStr">
        <is>
          <t>RN-04</t>
        </is>
      </c>
      <c r="E12" s="9" t="inlineStr">
        <is>
          <t>Project Plan §10 · SRS §3</t>
        </is>
      </c>
      <c r="F12" s="9" t="inlineStr">
        <is>
          <t>Transversal</t>
        </is>
      </c>
      <c r="G12" s="9" t="inlineStr">
        <is>
          <t>CA-08, RP-05</t>
        </is>
      </c>
      <c r="H12" s="9" t="inlineStr">
        <is>
          <t>—</t>
        </is>
      </c>
      <c r="I12" s="9" t="inlineStr">
        <is>
          <t>C07</t>
        </is>
      </c>
      <c r="J12" s="9" t="inlineStr">
        <is>
          <t>3</t>
        </is>
      </c>
      <c r="K12" s="10" t="inlineStr">
        <is>
          <t>Pendiente: enlazar archivo o commit</t>
        </is>
      </c>
      <c r="L12" s="9" t="inlineStr">
        <is>
          <t>TU-14, TU-15</t>
        </is>
      </c>
      <c r="M12" s="9" t="inlineStr">
        <is>
          <t>TI-06</t>
        </is>
      </c>
      <c r="N12" s="9" t="inlineStr">
        <is>
          <t>—</t>
        </is>
      </c>
      <c r="O12" s="9" t="inlineStr">
        <is>
          <t>T05, T07, T09</t>
        </is>
      </c>
      <c r="P12" s="9" t="inlineStr">
        <is>
          <t>D-04</t>
        </is>
      </c>
      <c r="Q12" s="9" t="inlineStr">
        <is>
          <t>Especificado en SRS v0.4; validación pendiente</t>
        </is>
      </c>
      <c r="R12" s="10" t="inlineStr">
        <is>
          <t>Reportado (MR-07)</t>
        </is>
      </c>
      <c r="S12" s="10" t="inlineStr">
        <is>
          <t>Sin ejecutar</t>
        </is>
      </c>
      <c r="T12" s="9" t="inlineStr">
        <is>
          <t>Informar fallas sin afirmar guardado.</t>
        </is>
      </c>
    </row>
    <row r="13">
      <c r="A13" s="9" t="inlineStr">
        <is>
          <t>RF-09</t>
        </is>
      </c>
      <c r="B13" s="9" t="inlineStr">
        <is>
          <t>Consultar puntos y actividades</t>
        </is>
      </c>
      <c r="C13" s="9" t="inlineStr">
        <is>
          <t>RF</t>
        </is>
      </c>
      <c r="D13" s="9" t="inlineStr">
        <is>
          <t>RN-04</t>
        </is>
      </c>
      <c r="E13" s="9" t="inlineStr">
        <is>
          <t>Agreement §6 · SRS §3</t>
        </is>
      </c>
      <c r="F13" s="9" t="inlineStr">
        <is>
          <t>—</t>
        </is>
      </c>
      <c r="G13" s="9" t="inlineStr">
        <is>
          <t>Por definir al aprobarse</t>
        </is>
      </c>
      <c r="H13" s="9" t="inlineStr">
        <is>
          <t>G-01</t>
        </is>
      </c>
      <c r="I13" s="9" t="inlineStr">
        <is>
          <t>C06</t>
        </is>
      </c>
      <c r="J13" s="9" t="inlineStr">
        <is>
          <t>6</t>
        </is>
      </c>
      <c r="K13" s="10" t="inlineStr">
        <is>
          <t>Pendiente: enlazar archivo o commit</t>
        </is>
      </c>
      <c r="L13" s="9" t="inlineStr">
        <is>
          <t>—</t>
        </is>
      </c>
      <c r="M13" s="9" t="inlineStr">
        <is>
          <t>—</t>
        </is>
      </c>
      <c r="N13" s="9" t="inlineStr">
        <is>
          <t>GO-04</t>
        </is>
      </c>
      <c r="O13" s="9" t="inlineStr">
        <is>
          <t>T03, T04</t>
        </is>
      </c>
      <c r="P13" s="9" t="inlineStr">
        <is>
          <t>D-02</t>
        </is>
      </c>
      <c r="Q13" s="9" t="inlineStr">
        <is>
          <t>Pendiente de validación (D-02)</t>
        </is>
      </c>
      <c r="R13" s="10" t="inlineStr">
        <is>
          <t>Pendiente</t>
        </is>
      </c>
      <c r="S13" s="10" t="inlineStr">
        <is>
          <t>Sin ejecutar</t>
        </is>
      </c>
      <c r="T13" s="9" t="inlineStr">
        <is>
          <t>La guía acordada contempla consultar puntos.</t>
        </is>
      </c>
    </row>
    <row r="14">
      <c r="A14" s="9" t="inlineStr">
        <is>
          <t>RNF-01</t>
        </is>
      </c>
      <c r="B14" s="9" t="inlineStr">
        <is>
          <t>Portabilidad Android e iOS</t>
        </is>
      </c>
      <c r="C14" s="9" t="inlineStr">
        <is>
          <t>RNF</t>
        </is>
      </c>
      <c r="D14" s="9" t="inlineStr">
        <is>
          <t>RN-03</t>
        </is>
      </c>
      <c r="E14" s="9" t="inlineStr">
        <is>
          <t>Project Plan §10 · SRS §4</t>
        </is>
      </c>
      <c r="F14" s="9" t="inlineStr">
        <is>
          <t>CU-01 a CU-06</t>
        </is>
      </c>
      <c r="G14" s="9" t="inlineStr">
        <is>
          <t>CA aplicables en ambas plataformas</t>
        </is>
      </c>
      <c r="H14" s="9" t="inlineStr">
        <is>
          <t>—</t>
        </is>
      </c>
      <c r="I14" s="9" t="inlineStr">
        <is>
          <t>C01</t>
        </is>
      </c>
      <c r="J14" s="9" t="inlineStr">
        <is>
          <t>7</t>
        </is>
      </c>
      <c r="K14" s="10" t="inlineStr">
        <is>
          <t>Pendiente: enlazar archivo o commit</t>
        </is>
      </c>
      <c r="L14" s="9" t="inlineStr">
        <is>
          <t>—</t>
        </is>
      </c>
      <c r="M14" s="9" t="inlineStr">
        <is>
          <t>TI-08</t>
        </is>
      </c>
      <c r="N14" s="9" t="inlineStr">
        <is>
          <t>GO-01</t>
        </is>
      </c>
      <c r="O14" s="9" t="inlineStr">
        <is>
          <t>T07, T10, T12</t>
        </is>
      </c>
      <c r="P14" s="9" t="inlineStr">
        <is>
          <t>D-03</t>
        </is>
      </c>
      <c r="Q14" s="9" t="inlineStr">
        <is>
          <t>Especificado en SRS v0.4; validación pendiente</t>
        </is>
      </c>
      <c r="R14" s="10" t="inlineStr">
        <is>
          <t>Android reportado; iOS bloqueado</t>
        </is>
      </c>
      <c r="S14" s="10" t="inlineStr">
        <is>
          <t>Sin ejecutar</t>
        </is>
      </c>
      <c r="T14" s="9" t="inlineStr">
        <is>
          <t>iOS sin Mac/Xcode.</t>
        </is>
      </c>
    </row>
    <row r="15">
      <c r="A15" s="9" t="inlineStr">
        <is>
          <t>RNF-02</t>
        </is>
      </c>
      <c r="B15" s="9" t="inlineStr">
        <is>
          <t>Persistencia y operación sin conexión</t>
        </is>
      </c>
      <c r="C15" s="9" t="inlineStr">
        <is>
          <t>RNF</t>
        </is>
      </c>
      <c r="D15" s="9" t="inlineStr">
        <is>
          <t>RN-04</t>
        </is>
      </c>
      <c r="E15" s="9" t="inlineStr">
        <is>
          <t>Project Plan §10 · SRS §4</t>
        </is>
      </c>
      <c r="F15" s="9" t="inlineStr">
        <is>
          <t>CU-01 a CU-06</t>
        </is>
      </c>
      <c r="G15" s="9" t="inlineStr">
        <is>
          <t>Prueba con red desactivada</t>
        </is>
      </c>
      <c r="H15" s="9" t="inlineStr">
        <is>
          <t>—</t>
        </is>
      </c>
      <c r="I15" s="9" t="inlineStr">
        <is>
          <t>C07</t>
        </is>
      </c>
      <c r="J15" s="9" t="inlineStr">
        <is>
          <t>3, 7</t>
        </is>
      </c>
      <c r="K15" s="10" t="inlineStr">
        <is>
          <t>Pendiente: enlazar archivo o commit</t>
        </is>
      </c>
      <c r="L15" s="9" t="inlineStr">
        <is>
          <t>TU-14</t>
        </is>
      </c>
      <c r="M15" s="9" t="inlineStr">
        <is>
          <t>TI-06</t>
        </is>
      </c>
      <c r="N15" s="9" t="inlineStr">
        <is>
          <t>—</t>
        </is>
      </c>
      <c r="O15" s="9" t="inlineStr">
        <is>
          <t>T07, T10</t>
        </is>
      </c>
      <c r="P15" s="9" t="inlineStr">
        <is>
          <t>D-04</t>
        </is>
      </c>
      <c r="Q15" s="9" t="inlineStr">
        <is>
          <t>Especificado en SRS v0.4; validación pendiente</t>
        </is>
      </c>
      <c r="R15" s="10" t="inlineStr">
        <is>
          <t>Reportado (MR-07)</t>
        </is>
      </c>
      <c r="S15" s="10" t="inlineStr">
        <is>
          <t>Sin ejecutar</t>
        </is>
      </c>
      <c r="T15" s="9" t="inlineStr">
        <is>
          <t>Prueba manual en modo avión pendiente (MR-07).</t>
        </is>
      </c>
    </row>
    <row r="16">
      <c r="A16" s="9" t="inlineStr">
        <is>
          <t>RNF-03</t>
        </is>
      </c>
      <c r="B16" s="9" t="inlineStr">
        <is>
          <t>Restricción tecnológica</t>
        </is>
      </c>
      <c r="C16" s="9" t="inlineStr">
        <is>
          <t>RNF</t>
        </is>
      </c>
      <c r="D16" s="9" t="inlineStr">
        <is>
          <t>—</t>
        </is>
      </c>
      <c r="E16" s="9" t="inlineStr">
        <is>
          <t>Project Plan §10 · SRS §4</t>
        </is>
      </c>
      <c r="F16" s="9" t="inlineStr">
        <is>
          <t>—</t>
        </is>
      </c>
      <c r="G16" s="9" t="inlineStr">
        <is>
          <t>Inspección del repositorio y la compilación</t>
        </is>
      </c>
      <c r="H16" s="9" t="inlineStr">
        <is>
          <t>—</t>
        </is>
      </c>
      <c r="I16" s="9" t="inlineStr">
        <is>
          <t>Todos</t>
        </is>
      </c>
      <c r="J16" s="9" t="inlineStr">
        <is>
          <t>1</t>
        </is>
      </c>
      <c r="K16" s="10" t="inlineStr">
        <is>
          <t>Pendiente: enlazar archivo o commit</t>
        </is>
      </c>
      <c r="L16" s="9" t="inlineStr">
        <is>
          <t>—</t>
        </is>
      </c>
      <c r="M16" s="9" t="inlineStr">
        <is>
          <t>INS-01</t>
        </is>
      </c>
      <c r="N16" s="9" t="inlineStr">
        <is>
          <t>—</t>
        </is>
      </c>
      <c r="O16" s="9" t="inlineStr">
        <is>
          <t>T02, T07</t>
        </is>
      </c>
      <c r="P16" s="9" t="inlineStr">
        <is>
          <t>D-03</t>
        </is>
      </c>
      <c r="Q16" s="9" t="inlineStr">
        <is>
          <t>Especificado en SRS v0.4; validación pendiente</t>
        </is>
      </c>
      <c r="R16" s="10" t="inlineStr">
        <is>
          <t>Pendiente de subir código</t>
        </is>
      </c>
      <c r="S16" s="10" t="inlineStr">
        <is>
          <t>Sin ejecutar</t>
        </is>
      </c>
      <c r="T16" s="9" t="inlineStr">
        <is>
          <t>Flutter, Dart, Git y GitHub.</t>
        </is>
      </c>
    </row>
    <row r="17">
      <c r="A17" s="9" t="inlineStr">
        <is>
          <t>RNF-04</t>
        </is>
      </c>
      <c r="B17" s="9" t="inlineStr">
        <is>
          <t>Restricción de alcance</t>
        </is>
      </c>
      <c r="C17" s="9" t="inlineStr">
        <is>
          <t>RNF</t>
        </is>
      </c>
      <c r="D17" s="9" t="inlineStr">
        <is>
          <t>—</t>
        </is>
      </c>
      <c r="E17" s="9" t="inlineStr">
        <is>
          <t>Agreement §4 · SRS §4</t>
        </is>
      </c>
      <c r="F17" s="9" t="inlineStr">
        <is>
          <t>—</t>
        </is>
      </c>
      <c r="G17" s="9" t="inlineStr">
        <is>
          <t>Revisión contra Agreement §4</t>
        </is>
      </c>
      <c r="H17" s="9" t="inlineStr">
        <is>
          <t>—</t>
        </is>
      </c>
      <c r="I17" s="9" t="inlineStr">
        <is>
          <t>Todos</t>
        </is>
      </c>
      <c r="J17" s="9" t="inlineStr">
        <is>
          <t>7</t>
        </is>
      </c>
      <c r="K17" s="10" t="inlineStr">
        <is>
          <t>—</t>
        </is>
      </c>
      <c r="L17" s="9" t="inlineStr">
        <is>
          <t>—</t>
        </is>
      </c>
      <c r="M17" s="9" t="inlineStr">
        <is>
          <t>INS-02, VC-02</t>
        </is>
      </c>
      <c r="N17" s="9" t="inlineStr">
        <is>
          <t>—</t>
        </is>
      </c>
      <c r="O17" s="9" t="inlineStr">
        <is>
          <t>T11</t>
        </is>
      </c>
      <c r="P17" s="9" t="inlineStr">
        <is>
          <t>—</t>
        </is>
      </c>
      <c r="Q17" s="9" t="inlineStr">
        <is>
          <t>Especificado en SRS v0.4; validación pendiente</t>
        </is>
      </c>
      <c r="R17" s="10" t="inlineStr">
        <is>
          <t>—</t>
        </is>
      </c>
      <c r="S17" s="10" t="inlineStr">
        <is>
          <t>Sin ejecutar</t>
        </is>
      </c>
      <c r="T17" s="9" t="inlineStr">
        <is>
          <t>Sin videojuego, evaluación formal ni compras.</t>
        </is>
      </c>
    </row>
    <row r="18">
      <c r="A18" s="9" t="inlineStr">
        <is>
          <t>RNF-05</t>
        </is>
      </c>
      <c r="B18" s="9" t="inlineStr">
        <is>
          <t>Usabilidad</t>
        </is>
      </c>
      <c r="C18" s="9" t="inlineStr">
        <is>
          <t>RNF</t>
        </is>
      </c>
      <c r="D18" s="9" t="inlineStr">
        <is>
          <t>RN-03</t>
        </is>
      </c>
      <c r="E18" s="9" t="inlineStr">
        <is>
          <t>Agreement §5 · SRS §4</t>
        </is>
      </c>
      <c r="F18" s="9" t="inlineStr">
        <is>
          <t>CU-01 a CU-06</t>
        </is>
      </c>
      <c r="G18" s="9" t="inlineStr">
        <is>
          <t>Estados con texto además de color</t>
        </is>
      </c>
      <c r="H18" s="9" t="inlineStr">
        <is>
          <t>—</t>
        </is>
      </c>
      <c r="I18" s="9" t="inlineStr">
        <is>
          <t>C01</t>
        </is>
      </c>
      <c r="J18" s="9" t="inlineStr">
        <is>
          <t>5, 7</t>
        </is>
      </c>
      <c r="K18" s="10" t="inlineStr">
        <is>
          <t>Pendiente: enlazar archivo o commit</t>
        </is>
      </c>
      <c r="L18" s="9" t="inlineStr">
        <is>
          <t>TU-08</t>
        </is>
      </c>
      <c r="M18" s="9" t="inlineStr">
        <is>
          <t>TI-08, VC-02</t>
        </is>
      </c>
      <c r="N18" s="9" t="inlineStr">
        <is>
          <t>GO-02</t>
        </is>
      </c>
      <c r="O18" s="9" t="inlineStr">
        <is>
          <t>T07, T10, T11</t>
        </is>
      </c>
      <c r="P18" s="9" t="inlineStr">
        <is>
          <t>D-03</t>
        </is>
      </c>
      <c r="Q18" s="9" t="inlineStr">
        <is>
          <t>Especificado en SRS v0.4; validación pendiente</t>
        </is>
      </c>
      <c r="R18" s="10" t="inlineStr">
        <is>
          <t>Reportado (MR-07)</t>
        </is>
      </c>
      <c r="S18" s="10" t="inlineStr">
        <is>
          <t>Sin ejecutar</t>
        </is>
      </c>
      <c r="T18" s="9" t="inlineStr">
        <is>
          <t>Validación de la interfaz con la cliente pendiente.</t>
        </is>
      </c>
    </row>
    <row r="19">
      <c r="A19" s="9" t="inlineStr">
        <is>
          <t>RNF-06</t>
        </is>
      </c>
      <c r="B19" s="9" t="inlineStr">
        <is>
          <t>Rendimiento</t>
        </is>
      </c>
      <c r="C19" s="9" t="inlineStr">
        <is>
          <t>RNF</t>
        </is>
      </c>
      <c r="D19" s="9" t="inlineStr">
        <is>
          <t>RN-03</t>
        </is>
      </c>
      <c r="E19" s="9" t="inlineStr">
        <is>
          <t>SRS §4</t>
        </is>
      </c>
      <c r="F19" s="9" t="inlineStr">
        <is>
          <t>CU-05, CU-01</t>
        </is>
      </c>
      <c r="G19" s="9" t="inlineStr">
        <is>
          <t>20 aperturas por plataforma ≤ umbral</t>
        </is>
      </c>
      <c r="H19" s="9" t="inlineStr">
        <is>
          <t>—</t>
        </is>
      </c>
      <c r="I19" s="9" t="inlineStr">
        <is>
          <t>C01, C02</t>
        </is>
      </c>
      <c r="J19" s="9" t="inlineStr">
        <is>
          <t>7</t>
        </is>
      </c>
      <c r="K19" s="10" t="inlineStr">
        <is>
          <t>—</t>
        </is>
      </c>
      <c r="L19" s="9" t="inlineStr">
        <is>
          <t>—</t>
        </is>
      </c>
      <c r="M19" s="9" t="inlineStr">
        <is>
          <t>TI-07</t>
        </is>
      </c>
      <c r="N19" s="9" t="inlineStr">
        <is>
          <t>—</t>
        </is>
      </c>
      <c r="O19" s="9" t="inlineStr">
        <is>
          <t>T10</t>
        </is>
      </c>
      <c r="P19" s="9" t="inlineStr">
        <is>
          <t>D-03, D-05</t>
        </is>
      </c>
      <c r="Q19" s="9" t="inlineStr">
        <is>
          <t>Especificado en SRS v0.4; validación pendiente</t>
        </is>
      </c>
      <c r="R19" s="10" t="inlineStr">
        <is>
          <t>—</t>
        </is>
      </c>
      <c r="S19" s="10" t="inlineStr">
        <is>
          <t>Sin ejecutar</t>
        </is>
      </c>
      <c r="T19" s="9" t="inlineStr">
        <is>
          <t>Umbral propuesto: 2 s.</t>
        </is>
      </c>
    </row>
    <row r="20">
      <c r="A20" s="9" t="inlineStr">
        <is>
          <t>RNF-07</t>
        </is>
      </c>
      <c r="B20" s="9" t="inlineStr">
        <is>
          <t>Integridad del estado</t>
        </is>
      </c>
      <c r="C20" s="9" t="inlineStr">
        <is>
          <t>RNF</t>
        </is>
      </c>
      <c r="D20" s="9" t="inlineStr">
        <is>
          <t>RN-04</t>
        </is>
      </c>
      <c r="E20" s="9" t="inlineStr">
        <is>
          <t>SRS §4</t>
        </is>
      </c>
      <c r="F20" s="9" t="inlineStr">
        <is>
          <t>Transversal</t>
        </is>
      </c>
      <c r="G20" s="9" t="inlineStr">
        <is>
          <t>Cerrar y reabrir conserva valores</t>
        </is>
      </c>
      <c r="H20" s="9" t="inlineStr">
        <is>
          <t>—</t>
        </is>
      </c>
      <c r="I20" s="9" t="inlineStr">
        <is>
          <t>C07</t>
        </is>
      </c>
      <c r="J20" s="9" t="inlineStr">
        <is>
          <t>3</t>
        </is>
      </c>
      <c r="K20" s="10" t="inlineStr">
        <is>
          <t>Pendiente: enlazar archivo o commit</t>
        </is>
      </c>
      <c r="L20" s="9" t="inlineStr">
        <is>
          <t>TU-12, TU-14</t>
        </is>
      </c>
      <c r="M20" s="9" t="inlineStr">
        <is>
          <t>TI-04</t>
        </is>
      </c>
      <c r="N20" s="9" t="inlineStr">
        <is>
          <t>—</t>
        </is>
      </c>
      <c r="O20" s="9" t="inlineStr">
        <is>
          <t>T07, T08, T10</t>
        </is>
      </c>
      <c r="P20" s="9" t="inlineStr">
        <is>
          <t>D-04</t>
        </is>
      </c>
      <c r="Q20" s="9" t="inlineStr">
        <is>
          <t>Especificado en SRS v0.4; validación pendiente</t>
        </is>
      </c>
      <c r="R20" s="10" t="inlineStr">
        <is>
          <t>Reportado (MR-07)</t>
        </is>
      </c>
      <c r="S20" s="10" t="inlineStr">
        <is>
          <t>Sin ejecutar</t>
        </is>
      </c>
      <c r="T20" s="9" t="inlineStr">
        <is>
          <t>Progreso y recompensas coherentes.</t>
        </is>
      </c>
    </row>
    <row r="21">
      <c r="A21" s="9" t="inlineStr">
        <is>
          <t>RNF-08</t>
        </is>
      </c>
      <c r="B21" s="9" t="inlineStr">
        <is>
          <t>Seguridad local</t>
        </is>
      </c>
      <c r="C21" s="9" t="inlineStr">
        <is>
          <t>RNF</t>
        </is>
      </c>
      <c r="D21" s="9" t="inlineStr">
        <is>
          <t>RN-04</t>
        </is>
      </c>
      <c r="E21" s="9" t="inlineStr">
        <is>
          <t>SRS anexo §3</t>
        </is>
      </c>
      <c r="F21" s="9" t="inlineStr">
        <is>
          <t>Transversal</t>
        </is>
      </c>
      <c r="G21" s="9" t="inlineStr">
        <is>
          <t>Guardado interrumpido sin estado parcial</t>
        </is>
      </c>
      <c r="H21" s="9" t="inlineStr">
        <is>
          <t>—</t>
        </is>
      </c>
      <c r="I21" s="9" t="inlineStr">
        <is>
          <t>C07</t>
        </is>
      </c>
      <c r="J21" s="9" t="inlineStr">
        <is>
          <t>3</t>
        </is>
      </c>
      <c r="K21" s="10" t="inlineStr">
        <is>
          <t>Pendiente: enlazar archivo o commit</t>
        </is>
      </c>
      <c r="L21" s="9" t="inlineStr">
        <is>
          <t>TU-15</t>
        </is>
      </c>
      <c r="M21" s="9" t="inlineStr">
        <is>
          <t>INS-04</t>
        </is>
      </c>
      <c r="N21" s="9" t="inlineStr">
        <is>
          <t>—</t>
        </is>
      </c>
      <c r="O21" s="9" t="inlineStr">
        <is>
          <t>T07, T08</t>
        </is>
      </c>
      <c r="P21" s="9" t="inlineStr">
        <is>
          <t>D-04</t>
        </is>
      </c>
      <c r="Q21" s="9" t="inlineStr">
        <is>
          <t>Propuesto en SRS v0.4 (anexo); validación pendiente</t>
        </is>
      </c>
      <c r="R21" s="10" t="inlineStr">
        <is>
          <t>Pendiente</t>
        </is>
      </c>
      <c r="S21" s="10" t="inlineStr">
        <is>
          <t>Sin ejecutar</t>
        </is>
      </c>
      <c r="T21" s="9" t="inlineStr">
        <is>
          <t>Revisar permisos de la app.</t>
        </is>
      </c>
    </row>
    <row r="22">
      <c r="A22" s="9" t="inlineStr">
        <is>
          <t>RNF-09</t>
        </is>
      </c>
      <c r="B22" s="9" t="inlineStr">
        <is>
          <t>Mantenibilidad</t>
        </is>
      </c>
      <c r="C22" s="9" t="inlineStr">
        <is>
          <t>RNF</t>
        </is>
      </c>
      <c r="D22" s="9" t="inlineStr">
        <is>
          <t>—</t>
        </is>
      </c>
      <c r="E22" s="9" t="inlineStr">
        <is>
          <t>SRS anexo §3</t>
        </is>
      </c>
      <c r="F22" s="9" t="inlineStr">
        <is>
          <t>—</t>
        </is>
      </c>
      <c r="G22" s="9" t="inlineStr">
        <is>
          <t>Separación de capas</t>
        </is>
      </c>
      <c r="H22" s="9" t="inlineStr">
        <is>
          <t>—</t>
        </is>
      </c>
      <c r="I22" s="9" t="inlineStr">
        <is>
          <t>C01 a C07</t>
        </is>
      </c>
      <c r="J22" s="9" t="inlineStr">
        <is>
          <t>1</t>
        </is>
      </c>
      <c r="K22" s="10" t="inlineStr">
        <is>
          <t>Pendiente: enlazar archivo o commit</t>
        </is>
      </c>
      <c r="L22" s="9" t="inlineStr">
        <is>
          <t>—</t>
        </is>
      </c>
      <c r="M22" s="9" t="inlineStr">
        <is>
          <t>INS-03</t>
        </is>
      </c>
      <c r="N22" s="9" t="inlineStr">
        <is>
          <t>—</t>
        </is>
      </c>
      <c r="O22" s="9" t="inlineStr">
        <is>
          <t>T05, T06</t>
        </is>
      </c>
      <c r="P22" s="9" t="inlineStr">
        <is>
          <t>—</t>
        </is>
      </c>
      <c r="Q22" s="9" t="inlineStr">
        <is>
          <t>Propuesto en SRS v0.4 (anexo); validación pendiente</t>
        </is>
      </c>
      <c r="R22" s="10" t="inlineStr">
        <is>
          <t>Pendiente</t>
        </is>
      </c>
      <c r="S22" s="10" t="inlineStr">
        <is>
          <t>Sin ejecutar</t>
        </is>
      </c>
      <c r="T22" s="9" t="inlineStr">
        <is>
          <t>Contenido, lógica, persistencia e interfaz separados.</t>
        </is>
      </c>
    </row>
    <row r="23">
      <c r="A23" s="9" t="inlineStr">
        <is>
          <t>RNF-10</t>
        </is>
      </c>
      <c r="B23" s="9" t="inlineStr">
        <is>
          <t>Compatibilidad</t>
        </is>
      </c>
      <c r="C23" s="9" t="inlineStr">
        <is>
          <t>RNF</t>
        </is>
      </c>
      <c r="D23" s="9" t="inlineStr">
        <is>
          <t>RN-03</t>
        </is>
      </c>
      <c r="E23" s="9" t="inlineStr">
        <is>
          <t>SRS anexo §3</t>
        </is>
      </c>
      <c r="F23" s="9" t="inlineStr">
        <is>
          <t>CU-01 a CU-06</t>
        </is>
      </c>
      <c r="G23" s="9" t="inlineStr">
        <is>
          <t>Combinaciones acordadas en D-03</t>
        </is>
      </c>
      <c r="H23" s="9" t="inlineStr">
        <is>
          <t>—</t>
        </is>
      </c>
      <c r="I23" s="9" t="inlineStr">
        <is>
          <t>C01</t>
        </is>
      </c>
      <c r="J23" s="9" t="inlineStr">
        <is>
          <t>7</t>
        </is>
      </c>
      <c r="K23" s="10" t="inlineStr">
        <is>
          <t>—</t>
        </is>
      </c>
      <c r="L23" s="9" t="inlineStr">
        <is>
          <t>—</t>
        </is>
      </c>
      <c r="M23" s="9" t="inlineStr">
        <is>
          <t>TI-08</t>
        </is>
      </c>
      <c r="N23" s="9" t="inlineStr">
        <is>
          <t>—</t>
        </is>
      </c>
      <c r="O23" s="9" t="inlineStr">
        <is>
          <t>T10</t>
        </is>
      </c>
      <c r="P23" s="9" t="inlineStr">
        <is>
          <t>D-03</t>
        </is>
      </c>
      <c r="Q23" s="9" t="inlineStr">
        <is>
          <t>Propuesto en SRS v0.4 (anexo); validación pendiente</t>
        </is>
      </c>
      <c r="R23" s="10" t="inlineStr">
        <is>
          <t>—</t>
        </is>
      </c>
      <c r="S23" s="10" t="inlineStr">
        <is>
          <t>Sin ejecutar</t>
        </is>
      </c>
      <c r="T23" s="9" t="inlineStr">
        <is>
          <t>Tamaños y orientación.</t>
        </is>
      </c>
    </row>
    <row r="24">
      <c r="A24" s="9" t="inlineStr">
        <is>
          <t>RNF-11</t>
        </is>
      </c>
      <c r="B24" s="9" t="inlineStr">
        <is>
          <t>Contenido y distribución</t>
        </is>
      </c>
      <c r="C24" s="9" t="inlineStr">
        <is>
          <t>RNF</t>
        </is>
      </c>
      <c r="D24" s="9" t="inlineStr">
        <is>
          <t>—</t>
        </is>
      </c>
      <c r="E24" s="9" t="inlineStr">
        <is>
          <t>SRS anexo §3</t>
        </is>
      </c>
      <c r="F24" s="9" t="inlineStr">
        <is>
          <t>—</t>
        </is>
      </c>
      <c r="G24" s="9" t="inlineStr">
        <is>
          <t>Inventario de autoría y licencias</t>
        </is>
      </c>
      <c r="H24" s="9" t="inlineStr">
        <is>
          <t>CT-01 a CT-10</t>
        </is>
      </c>
      <c r="I24" s="9" t="inlineStr">
        <is>
          <t>C02</t>
        </is>
      </c>
      <c r="J24" s="9" t="inlineStr">
        <is>
          <t>2, 7</t>
        </is>
      </c>
      <c r="K24" s="10" t="inlineStr">
        <is>
          <t>—</t>
        </is>
      </c>
      <c r="L24" s="9" t="inlineStr">
        <is>
          <t>—</t>
        </is>
      </c>
      <c r="M24" s="9" t="inlineStr">
        <is>
          <t>INS-04</t>
        </is>
      </c>
      <c r="N24" s="9" t="inlineStr">
        <is>
          <t>GO-01</t>
        </is>
      </c>
      <c r="O24" s="9" t="inlineStr">
        <is>
          <t>T12</t>
        </is>
      </c>
      <c r="P24" s="9" t="inlineStr">
        <is>
          <t>D-03</t>
        </is>
      </c>
      <c r="Q24" s="9" t="inlineStr">
        <is>
          <t>Propuesto en SRS v0.4 (anexo); validación pendiente</t>
        </is>
      </c>
      <c r="R24" s="10" t="inlineStr">
        <is>
          <t>—</t>
        </is>
      </c>
      <c r="S24" s="10" t="inlineStr">
        <is>
          <t>Sin ejecutar</t>
        </is>
      </c>
      <c r="T24" s="9" t="inlineStr">
        <is>
          <t>Medio de instalación en D-03.</t>
        </is>
      </c>
    </row>
    <row r="25">
      <c r="A25" s="9" t="inlineStr">
        <is>
          <t>ENT-01</t>
        </is>
      </c>
      <c r="B25" s="9" t="inlineStr">
        <is>
          <t>Aplicación móvil funcional</t>
        </is>
      </c>
      <c r="C25" s="9" t="inlineStr">
        <is>
          <t>ENT</t>
        </is>
      </c>
      <c r="D25" s="9" t="inlineStr">
        <is>
          <t>RN-01 a RN-04</t>
        </is>
      </c>
      <c r="E25" s="9" t="inlineStr">
        <is>
          <t>Agreement §6 · Project Plan §7, §14</t>
        </is>
      </c>
      <c r="F25" s="9" t="inlineStr">
        <is>
          <t>CU-01 a CU-06</t>
        </is>
      </c>
      <c r="G25" s="9" t="inlineStr">
        <is>
          <t>Aceptación de la cliente</t>
        </is>
      </c>
      <c r="H25" s="9" t="inlineStr">
        <is>
          <t>CT-01 a CT-10; G-01 a G-03</t>
        </is>
      </c>
      <c r="I25" s="9" t="inlineStr">
        <is>
          <t>C01 a C07</t>
        </is>
      </c>
      <c r="J25" s="9" t="inlineStr">
        <is>
          <t>7</t>
        </is>
      </c>
      <c r="K25" s="10" t="inlineStr">
        <is>
          <t>Pendiente: enlazar archivo o commit</t>
        </is>
      </c>
      <c r="L25" s="9" t="inlineStr">
        <is>
          <t>—</t>
        </is>
      </c>
      <c r="M25" s="9" t="inlineStr">
        <is>
          <t>TI-08, VC-02</t>
        </is>
      </c>
      <c r="N25" s="9" t="inlineStr">
        <is>
          <t>GO-01</t>
        </is>
      </c>
      <c r="O25" s="9" t="inlineStr">
        <is>
          <t>T12, T13</t>
        </is>
      </c>
      <c r="P25" s="9" t="inlineStr">
        <is>
          <t>D-03</t>
        </is>
      </c>
      <c r="Q25" s="9" t="inlineStr">
        <is>
          <t>Comprometido</t>
        </is>
      </c>
      <c r="R25" s="10" t="inlineStr">
        <is>
          <t>En construcción</t>
        </is>
      </c>
      <c r="S25" s="10" t="inlineStr">
        <is>
          <t>Sin ejecutar</t>
        </is>
      </c>
      <c r="T25" s="9" t="inlineStr">
        <is>
          <t>Versión 1.0 prevista.</t>
        </is>
      </c>
    </row>
    <row r="26">
      <c r="A26" s="9" t="inlineStr">
        <is>
          <t>ENT-02</t>
        </is>
      </c>
      <c r="B26" s="9" t="inlineStr">
        <is>
          <t>Guía de operación (PDF)</t>
        </is>
      </c>
      <c r="C26" s="9" t="inlineStr">
        <is>
          <t>ENT</t>
        </is>
      </c>
      <c r="D26" s="9" t="inlineStr">
        <is>
          <t>RN-03, RN-04</t>
        </is>
      </c>
      <c r="E26" s="9" t="inlineStr">
        <is>
          <t>Agreement §6 · Project Plan §7, §14</t>
        </is>
      </c>
      <c r="F26" s="9" t="inlineStr">
        <is>
          <t>CU-01 a CU-06</t>
        </is>
      </c>
      <c r="G26" s="9" t="inlineStr">
        <is>
          <t>Cubre instalar, navegar, actividades, puntos e insignias y avance</t>
        </is>
      </c>
      <c r="H26" s="9" t="inlineStr">
        <is>
          <t>—</t>
        </is>
      </c>
      <c r="I26" s="9" t="inlineStr">
        <is>
          <t>—</t>
        </is>
      </c>
      <c r="J26" s="9" t="inlineStr">
        <is>
          <t>7</t>
        </is>
      </c>
      <c r="K26" s="10" t="inlineStr">
        <is>
          <t>N.A. (documento)</t>
        </is>
      </c>
      <c r="L26" s="9" t="inlineStr">
        <is>
          <t>—</t>
        </is>
      </c>
      <c r="M26" s="9" t="inlineStr">
        <is>
          <t>VC-03</t>
        </is>
      </c>
      <c r="N26" s="9" t="inlineStr">
        <is>
          <t>GO-01 a GO-05</t>
        </is>
      </c>
      <c r="O26" s="9" t="inlineStr">
        <is>
          <t>T12, T13</t>
        </is>
      </c>
      <c r="P26" s="9" t="inlineStr">
        <is>
          <t>—</t>
        </is>
      </c>
      <c r="Q26" s="9" t="inlineStr">
        <is>
          <t>Comprometido</t>
        </is>
      </c>
      <c r="R26" s="10" t="inlineStr">
        <is>
          <t>N.A.</t>
        </is>
      </c>
      <c r="S26" s="10" t="inlineStr">
        <is>
          <t>Sin ejecutar</t>
        </is>
      </c>
      <c r="T26" s="9" t="inlineStr">
        <is>
          <t>Con capturas de la aplicación real.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4" customWidth="1" min="5" max="5"/>
    <col width="8" customWidth="1" min="6" max="6"/>
    <col width="22" customWidth="1" min="7" max="7"/>
    <col width="14" customWidth="1" min="8" max="8"/>
    <col width="11" customWidth="1" min="9" max="9"/>
    <col width="9" customWidth="1" min="10" max="10"/>
    <col width="50" customWidth="1" min="11" max="11"/>
    <col width="12" customWidth="1" min="12" max="12"/>
  </cols>
  <sheetData>
    <row r="1">
      <c r="A1" s="6" t="inlineStr">
        <is>
          <t>Trazabilidad por caso de uso — PSPS</t>
        </is>
      </c>
    </row>
    <row r="2">
      <c r="A2" s="7" t="inlineStr">
        <is>
          <t>Seis casos de uso del SRS v0.4 con su diseño, etapa de integración, pruebas y guía.</t>
        </is>
      </c>
    </row>
    <row r="4">
      <c r="A4" s="8" t="inlineStr">
        <is>
          <t>Caso de uso</t>
        </is>
      </c>
      <c r="B4" s="8" t="inlineStr">
        <is>
          <t>Nombre</t>
        </is>
      </c>
      <c r="C4" s="8" t="inlineStr">
        <is>
          <t>Requisitos</t>
        </is>
      </c>
      <c r="D4" s="8" t="inlineStr">
        <is>
          <t>Criterios</t>
        </is>
      </c>
      <c r="E4" s="8" t="inlineStr">
        <is>
          <t>Componentes</t>
        </is>
      </c>
      <c r="F4" s="8" t="inlineStr">
        <is>
          <t>Etapa</t>
        </is>
      </c>
      <c r="G4" s="8" t="inlineStr">
        <is>
          <t>Código</t>
        </is>
      </c>
      <c r="H4" s="8" t="inlineStr">
        <is>
          <t>Pruebas unitarias</t>
        </is>
      </c>
      <c r="I4" s="8" t="inlineStr">
        <is>
          <t>Integración</t>
        </is>
      </c>
      <c r="J4" s="8" t="inlineStr">
        <is>
          <t>Guía</t>
        </is>
      </c>
      <c r="K4" s="8" t="inlineStr">
        <is>
          <t>Flujo alternativo a probar</t>
        </is>
      </c>
      <c r="L4" s="8" t="inlineStr">
        <is>
          <t>Estado</t>
        </is>
      </c>
    </row>
    <row r="5">
      <c r="A5" s="9" t="inlineStr">
        <is>
          <t>CU-01</t>
        </is>
      </c>
      <c r="B5" s="9" t="inlineStr">
        <is>
          <t>Estudiar un tema de un módulo</t>
        </is>
      </c>
      <c r="C5" s="9" t="inlineStr">
        <is>
          <t>RF-02, RF-08</t>
        </is>
      </c>
      <c r="D5" s="9" t="inlineStr">
        <is>
          <t>CA-02, CA-08</t>
        </is>
      </c>
      <c r="E5" s="9" t="inlineStr">
        <is>
          <t>C01, C03, C07</t>
        </is>
      </c>
      <c r="F5" s="9" t="inlineStr">
        <is>
          <t>4</t>
        </is>
      </c>
      <c r="G5" s="10" t="inlineStr">
        <is>
          <t>Pendiente: enlazar archivo o commit</t>
        </is>
      </c>
      <c r="H5" s="9" t="inlineStr">
        <is>
          <t>TU-01 a TU-04</t>
        </is>
      </c>
      <c r="I5" s="9" t="inlineStr">
        <is>
          <t>TI-02</t>
        </is>
      </c>
      <c r="J5" s="9" t="inlineStr">
        <is>
          <t>GO-02</t>
        </is>
      </c>
      <c r="K5" s="9" t="inlineStr">
        <is>
          <t>A1: salir con preguntas pendientes conserva las respondidas. A2: consultar sin responder no cambia el estado.</t>
        </is>
      </c>
      <c r="L5" s="10" t="inlineStr">
        <is>
          <t>Sin ejecutar</t>
        </is>
      </c>
    </row>
    <row r="6">
      <c r="A6" s="9" t="inlineStr">
        <is>
          <t>CU-02</t>
        </is>
      </c>
      <c r="B6" s="9" t="inlineStr">
        <is>
          <t>Practicar conceptos mediante una actividad interactiva</t>
        </is>
      </c>
      <c r="C6" s="9" t="inlineStr">
        <is>
          <t>RF-03</t>
        </is>
      </c>
      <c r="D6" s="9" t="inlineStr">
        <is>
          <t>CA-03</t>
        </is>
      </c>
      <c r="E6" s="9" t="inlineStr">
        <is>
          <t>C05, C06</t>
        </is>
      </c>
      <c r="F6" s="9" t="inlineStr">
        <is>
          <t>6</t>
        </is>
      </c>
      <c r="G6" s="10" t="inlineStr">
        <is>
          <t>Pendiente: enlazar archivo o commit</t>
        </is>
      </c>
      <c r="H6" s="9" t="inlineStr">
        <is>
          <t>TU-11, TU-12</t>
        </is>
      </c>
      <c r="I6" s="9" t="inlineStr">
        <is>
          <t>TI-04</t>
        </is>
      </c>
      <c r="J6" s="9" t="inlineStr">
        <is>
          <t>GO-03</t>
        </is>
      </c>
      <c r="K6" s="9" t="inlineStr">
        <is>
          <t>Actividad con elementos pendientes no se registra; repetirla no duplica recompensas.</t>
        </is>
      </c>
      <c r="L6" s="10" t="inlineStr">
        <is>
          <t>Sin ejecutar</t>
        </is>
      </c>
    </row>
    <row r="7">
      <c r="A7" s="9" t="inlineStr">
        <is>
          <t>CU-03</t>
        </is>
      </c>
      <c r="B7" s="9" t="inlineStr">
        <is>
          <t>Consultar el progreso del recorrido</t>
        </is>
      </c>
      <c r="C7" s="9" t="inlineStr">
        <is>
          <t>RF-04</t>
        </is>
      </c>
      <c r="D7" s="9" t="inlineStr">
        <is>
          <t>CA-04 (ampliado)</t>
        </is>
      </c>
      <c r="E7" s="9" t="inlineStr">
        <is>
          <t>C01, C04</t>
        </is>
      </c>
      <c r="F7" s="9" t="inlineStr">
        <is>
          <t>5</t>
        </is>
      </c>
      <c r="G7" s="10" t="inlineStr">
        <is>
          <t>Pendiente: enlazar archivo o commit</t>
        </is>
      </c>
      <c r="H7" s="9" t="inlineStr">
        <is>
          <t>TU-07, TU-08</t>
        </is>
      </c>
      <c r="I7" s="9" t="inlineStr">
        <is>
          <t>TI-02</t>
        </is>
      </c>
      <c r="J7" s="9" t="inlineStr">
        <is>
          <t>GO-05</t>
        </is>
      </c>
      <c r="K7" s="9" t="inlineStr">
        <is>
          <t>Consultar el progreso no modifica ningún estado.</t>
        </is>
      </c>
      <c r="L7" s="10" t="inlineStr">
        <is>
          <t>Sin ejecutar</t>
        </is>
      </c>
    </row>
    <row r="8">
      <c r="A8" s="9" t="inlineStr">
        <is>
          <t>CU-04</t>
        </is>
      </c>
      <c r="B8" s="9" t="inlineStr">
        <is>
          <t>Completar los contenidos de un módulo</t>
        </is>
      </c>
      <c r="C8" s="9" t="inlineStr">
        <is>
          <t>RF-05</t>
        </is>
      </c>
      <c r="D8" s="9" t="inlineStr">
        <is>
          <t>CA-05</t>
        </is>
      </c>
      <c r="E8" s="9" t="inlineStr">
        <is>
          <t>C04</t>
        </is>
      </c>
      <c r="F8" s="9" t="inlineStr">
        <is>
          <t>5</t>
        </is>
      </c>
      <c r="G8" s="10" t="inlineStr">
        <is>
          <t>Pendiente: enlazar archivo o commit</t>
        </is>
      </c>
      <c r="H8" s="9" t="inlineStr">
        <is>
          <t>TU-09, TU-10</t>
        </is>
      </c>
      <c r="I8" s="9" t="inlineStr">
        <is>
          <t>TI-03</t>
        </is>
      </c>
      <c r="J8" s="9" t="inlineStr">
        <is>
          <t>GO-05</t>
        </is>
      </c>
      <c r="K8" s="9" t="inlineStr">
        <is>
          <t>Con subtemas o temas pendientes el módulo sigue sin completar; actividades pendientes no lo impiden.</t>
        </is>
      </c>
      <c r="L8" s="10" t="inlineStr">
        <is>
          <t>Sin ejecutar</t>
        </is>
      </c>
    </row>
    <row r="9">
      <c r="A9" s="9" t="inlineStr">
        <is>
          <t>CU-05</t>
        </is>
      </c>
      <c r="B9" s="9" t="inlineStr">
        <is>
          <t>Explorar los módulos de la aplicación</t>
        </is>
      </c>
      <c r="C9" s="9" t="inlineStr">
        <is>
          <t>RF-01</t>
        </is>
      </c>
      <c r="D9" s="9" t="inlineStr">
        <is>
          <t>CA-01</t>
        </is>
      </c>
      <c r="E9" s="9" t="inlineStr">
        <is>
          <t>C01, C02</t>
        </is>
      </c>
      <c r="F9" s="9" t="inlineStr">
        <is>
          <t>2, 4</t>
        </is>
      </c>
      <c r="G9" s="10" t="inlineStr">
        <is>
          <t>Pendiente: enlazar archivo o commit</t>
        </is>
      </c>
      <c r="H9" s="9" t="inlineStr">
        <is>
          <t>TU-05, TU-06</t>
        </is>
      </c>
      <c r="I9" s="9" t="inlineStr">
        <is>
          <t>TI-01</t>
        </is>
      </c>
      <c r="J9" s="9" t="inlineStr">
        <is>
          <t>GO-02</t>
        </is>
      </c>
      <c r="K9" s="9" t="inlineStr">
        <is>
          <t>Catálogo inválido: mensaje de contenido no disponible.</t>
        </is>
      </c>
      <c r="L9" s="10" t="inlineStr">
        <is>
          <t>Sin ejecutar</t>
        </is>
      </c>
    </row>
    <row r="10">
      <c r="A10" s="9" t="inlineStr">
        <is>
          <t>CU-06</t>
        </is>
      </c>
      <c r="B10" s="9" t="inlineStr">
        <is>
          <t>Consultar los logros obtenidos</t>
        </is>
      </c>
      <c r="C10" s="9" t="inlineStr">
        <is>
          <t>RF-06</t>
        </is>
      </c>
      <c r="D10" s="9" t="inlineStr">
        <is>
          <t>CA-06</t>
        </is>
      </c>
      <c r="E10" s="9" t="inlineStr">
        <is>
          <t>C01, C06</t>
        </is>
      </c>
      <c r="F10" s="9" t="inlineStr">
        <is>
          <t>6</t>
        </is>
      </c>
      <c r="G10" s="10" t="inlineStr">
        <is>
          <t>Pendiente: enlazar archivo o commit</t>
        </is>
      </c>
      <c r="H10" s="9" t="inlineStr">
        <is>
          <t>TU-13</t>
        </is>
      </c>
      <c r="I10" s="9" t="inlineStr">
        <is>
          <t>TI-05</t>
        </is>
      </c>
      <c r="J10" s="9" t="inlineStr">
        <is>
          <t>GO-04</t>
        </is>
      </c>
      <c r="K10" s="9" t="inlineStr">
        <is>
          <t>Sin logros: mensaje «Aún no hay logros»; no modifica puntos ni progreso.</t>
        </is>
      </c>
      <c r="L10" s="10" t="inlineStr">
        <is>
          <t>Sin ejecutar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52" customWidth="1" min="3" max="3"/>
    <col width="30" customWidth="1" min="4" max="4"/>
    <col width="20" customWidth="1" min="5" max="5"/>
    <col width="12" customWidth="1" min="6" max="6"/>
    <col width="26" customWidth="1" min="7" max="7"/>
  </cols>
  <sheetData>
    <row r="1">
      <c r="A1" s="6" t="inlineStr">
        <is>
          <t>Componentes del SDS v0.3 — PSPS</t>
        </is>
      </c>
    </row>
    <row r="2">
      <c r="A2" s="7" t="inlineStr">
        <is>
          <t>Identificadores C01–C07 del SDS v0.3, sección 3.</t>
        </is>
      </c>
    </row>
    <row r="4">
      <c r="A4" s="8" t="inlineStr">
        <is>
          <t>ID</t>
        </is>
      </c>
      <c r="B4" s="8" t="inlineStr">
        <is>
          <t>Componente</t>
        </is>
      </c>
      <c r="C4" s="8" t="inlineStr">
        <is>
          <t>Responsabilidad</t>
        </is>
      </c>
      <c r="D4" s="8" t="inlineStr">
        <is>
          <t>Requisitos</t>
        </is>
      </c>
      <c r="E4" s="8" t="inlineStr">
        <is>
          <t>Casos de uso</t>
        </is>
      </c>
      <c r="F4" s="8" t="inlineStr">
        <is>
          <t>Etapa de integración</t>
        </is>
      </c>
      <c r="G4" s="8" t="inlineStr">
        <is>
          <t>Código (ruta / commit)</t>
        </is>
      </c>
    </row>
    <row r="5">
      <c r="A5" s="9" t="inlineStr">
        <is>
          <t>C01</t>
        </is>
      </c>
      <c r="B5" s="9" t="inlineStr">
        <is>
          <t>Presentación y navegación</t>
        </is>
      </c>
      <c r="C5" s="9" t="inlineStr">
        <is>
          <t>Pantallas WF-01 a WF-08; muestra catálogo y estado con texto, ícono y color.</t>
        </is>
      </c>
      <c r="D5" s="9" t="inlineStr">
        <is>
          <t>RF-01, RF-02, RF-04, RF-06, RNF-01, RNF-05</t>
        </is>
      </c>
      <c r="E5" s="9" t="inlineStr">
        <is>
          <t>CU-01 a CU-06</t>
        </is>
      </c>
      <c r="F5" s="9" t="inlineStr">
        <is>
          <t>4, 5</t>
        </is>
      </c>
      <c r="G5" s="10" t="inlineStr">
        <is>
          <t>Pendiente: enlazar archivo o commit</t>
        </is>
      </c>
    </row>
    <row r="6">
      <c r="A6" s="9" t="inlineStr">
        <is>
          <t>C02</t>
        </is>
      </c>
      <c r="B6" s="9" t="inlineStr">
        <is>
          <t>Catálogo didáctico</t>
        </is>
      </c>
      <c r="C6" s="9" t="inlineStr">
        <is>
          <t>Lee entidades por ID y valida referencias (RP-01).</t>
        </is>
      </c>
      <c r="D6" s="9" t="inlineStr">
        <is>
          <t>RF-01, RNF-06, RNF-11</t>
        </is>
      </c>
      <c r="E6" s="9" t="inlineStr">
        <is>
          <t>CU-05</t>
        </is>
      </c>
      <c r="F6" s="9" t="inlineStr">
        <is>
          <t>2</t>
        </is>
      </c>
      <c r="G6" s="10" t="inlineStr">
        <is>
          <t>Pendiente: enlazar archivo o commit</t>
        </is>
      </c>
    </row>
    <row r="7">
      <c r="A7" s="9" t="inlineStr">
        <is>
          <t>C03</t>
        </is>
      </c>
      <c r="B7" s="9" t="inlineStr">
        <is>
          <t>Preguntas</t>
        </is>
      </c>
      <c r="C7" s="9" t="inlineStr">
        <is>
          <t>Evalúa opciones y devuelve corrección y retroalimentación.</t>
        </is>
      </c>
      <c r="D7" s="9" t="inlineStr">
        <is>
          <t>RF-02</t>
        </is>
      </c>
      <c r="E7" s="9" t="inlineStr">
        <is>
          <t>CU-01</t>
        </is>
      </c>
      <c r="F7" s="9" t="inlineStr">
        <is>
          <t>4</t>
        </is>
      </c>
      <c r="G7" s="10" t="inlineStr">
        <is>
          <t>Pendiente: enlazar archivo o commit</t>
        </is>
      </c>
    </row>
    <row r="8">
      <c r="A8" s="9" t="inlineStr">
        <is>
          <t>C04</t>
        </is>
      </c>
      <c r="B8" s="9" t="inlineStr">
        <is>
          <t>Progreso</t>
        </is>
      </c>
      <c r="C8" s="9" t="inlineStr">
        <is>
          <t>Deriva estados de subtema, tema y módulo de las preguntas respondidas.</t>
        </is>
      </c>
      <c r="D8" s="9" t="inlineStr">
        <is>
          <t>RF-02, RF-04, RF-05</t>
        </is>
      </c>
      <c r="E8" s="9" t="inlineStr">
        <is>
          <t>CU-01, CU-03, CU-04</t>
        </is>
      </c>
      <c r="F8" s="9" t="inlineStr">
        <is>
          <t>5</t>
        </is>
      </c>
      <c r="G8" s="10" t="inlineStr">
        <is>
          <t>Pendiente: enlazar archivo o commit</t>
        </is>
      </c>
    </row>
    <row r="9">
      <c r="A9" s="9" t="inlineStr">
        <is>
          <t>C05</t>
        </is>
      </c>
      <c r="B9" s="9" t="inlineStr">
        <is>
          <t>Actividades</t>
        </is>
      </c>
      <c r="C9" s="9" t="inlineStr">
        <is>
          <t>Conserva el avance de elementos y detecta la primera transición a realizada.</t>
        </is>
      </c>
      <c r="D9" s="9" t="inlineStr">
        <is>
          <t>RF-03</t>
        </is>
      </c>
      <c r="E9" s="9" t="inlineStr">
        <is>
          <t>CU-02</t>
        </is>
      </c>
      <c r="F9" s="9" t="inlineStr">
        <is>
          <t>6</t>
        </is>
      </c>
      <c r="G9" s="10" t="inlineStr">
        <is>
          <t>Pendiente: enlazar archivo o commit</t>
        </is>
      </c>
    </row>
    <row r="10">
      <c r="A10" s="9" t="inlineStr">
        <is>
          <t>C06</t>
        </is>
      </c>
      <c r="B10" s="9" t="inlineStr">
        <is>
          <t>Gamificación</t>
        </is>
      </c>
      <c r="C10" s="9" t="inlineStr">
        <is>
          <t>Aplica puntos, logros y desbloqueos según G-01 a G-03 aprobados.</t>
        </is>
      </c>
      <c r="D10" s="9" t="inlineStr">
        <is>
          <t>RF-03, RF-06, RF-07, RF-09</t>
        </is>
      </c>
      <c r="E10" s="9" t="inlineStr">
        <is>
          <t>CU-02, CU-06</t>
        </is>
      </c>
      <c r="F10" s="9" t="inlineStr">
        <is>
          <t>6</t>
        </is>
      </c>
      <c r="G10" s="10" t="inlineStr">
        <is>
          <t>Pendiente: enlazar archivo o commit</t>
        </is>
      </c>
    </row>
    <row r="11">
      <c r="A11" s="9" t="inlineStr">
        <is>
          <t>C07</t>
        </is>
      </c>
      <c r="B11" s="9" t="inlineStr">
        <is>
          <t>Repositorio local</t>
        </is>
      </c>
      <c r="C11" s="9" t="inlineStr">
        <is>
          <t>Carga y guarda el estado; comunica fallas sin afirmar éxito.</t>
        </is>
      </c>
      <c r="D11" s="9" t="inlineStr">
        <is>
          <t>RF-08, RNF-02, RNF-07, RNF-08</t>
        </is>
      </c>
      <c r="E11" s="9" t="inlineStr">
        <is>
          <t>Transversal</t>
        </is>
      </c>
      <c r="F11" s="9" t="inlineStr">
        <is>
          <t>3</t>
        </is>
      </c>
      <c r="G11" s="10" t="inlineStr">
        <is>
          <t>Pendiente: enlazar archivo o commit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60" customWidth="1" min="3" max="3"/>
    <col width="22" customWidth="1" min="4" max="4"/>
    <col width="16" customWidth="1" min="5" max="5"/>
    <col width="16" customWidth="1" min="6" max="6"/>
    <col width="16" customWidth="1" min="7" max="7"/>
    <col width="14" customWidth="1" min="8" max="8"/>
    <col width="12" customWidth="1" min="9" max="9"/>
    <col width="13" customWidth="1" min="10" max="10"/>
    <col width="24" customWidth="1" min="11" max="11"/>
    <col width="14" customWidth="1" min="12" max="12"/>
  </cols>
  <sheetData>
    <row r="1">
      <c r="A1" s="6" t="inlineStr">
        <is>
          <t>Especificación de pruebas — PSPS</t>
        </is>
      </c>
    </row>
    <row r="2">
      <c r="A2" s="7" t="inlineStr">
        <is>
          <t>TU = unitaria (flutter_test) · TI = integración (integration_test) · INS = inspección · VC = validación con la cliente.</t>
        </is>
      </c>
    </row>
    <row r="4">
      <c r="A4" s="8" t="inlineStr">
        <is>
          <t>ID</t>
        </is>
      </c>
      <c r="B4" s="8" t="inlineStr">
        <is>
          <t>Tipo</t>
        </is>
      </c>
      <c r="C4" s="8" t="inlineStr">
        <is>
          <t>Qué se prueba</t>
        </is>
      </c>
      <c r="D4" s="8" t="inlineStr">
        <is>
          <t>Requisitos</t>
        </is>
      </c>
      <c r="E4" s="8" t="inlineStr">
        <is>
          <t>Criterio</t>
        </is>
      </c>
      <c r="F4" s="8" t="inlineStr">
        <is>
          <t>Caso de uso</t>
        </is>
      </c>
      <c r="G4" s="8" t="inlineStr">
        <is>
          <t>Versión / commit</t>
        </is>
      </c>
      <c r="H4" s="8" t="inlineStr">
        <is>
          <t>Plataforma</t>
        </is>
      </c>
      <c r="I4" s="8" t="inlineStr">
        <is>
          <t>Fecha</t>
        </is>
      </c>
      <c r="J4" s="8" t="inlineStr">
        <is>
          <t>Resultado</t>
        </is>
      </c>
      <c r="K4" s="8" t="inlineStr">
        <is>
          <t>Evidencia</t>
        </is>
      </c>
      <c r="L4" s="8" t="inlineStr">
        <is>
          <t>Defectos</t>
        </is>
      </c>
    </row>
    <row r="5">
      <c r="A5" s="9" t="inlineStr">
        <is>
          <t>TU-01</t>
        </is>
      </c>
      <c r="B5" s="9" t="inlineStr">
        <is>
          <t>TU</t>
        </is>
      </c>
      <c r="C5" s="9" t="inlineStr">
        <is>
          <t>Abrir o consultar un subtema no cambia su estado.</t>
        </is>
      </c>
      <c r="D5" s="9" t="inlineStr">
        <is>
          <t>RF-02</t>
        </is>
      </c>
      <c r="E5" s="9" t="inlineStr">
        <is>
          <t>CA-02</t>
        </is>
      </c>
      <c r="F5" s="9" t="inlineStr">
        <is>
          <t>CU-01</t>
        </is>
      </c>
      <c r="G5" s="10" t="inlineStr"/>
      <c r="H5" s="10" t="inlineStr"/>
      <c r="I5" s="10" t="inlineStr"/>
      <c r="J5" s="10" t="inlineStr">
        <is>
          <t>Sin ejecutar</t>
        </is>
      </c>
      <c r="K5" s="10" t="inlineStr"/>
      <c r="L5" s="10" t="inlineStr"/>
    </row>
    <row r="6">
      <c r="A6" s="9" t="inlineStr">
        <is>
          <t>TU-02</t>
        </is>
      </c>
      <c r="B6" s="9" t="inlineStr">
        <is>
          <t>TU</t>
        </is>
      </c>
      <c r="C6" s="9" t="inlineStr">
        <is>
          <t>Respuesta correcta: indica correcta, muestra retroalimentación y registra la pregunta.</t>
        </is>
      </c>
      <c r="D6" s="9" t="inlineStr">
        <is>
          <t>RF-02</t>
        </is>
      </c>
      <c r="E6" s="9" t="inlineStr">
        <is>
          <t>CA-02</t>
        </is>
      </c>
      <c r="F6" s="9" t="inlineStr">
        <is>
          <t>CU-01</t>
        </is>
      </c>
      <c r="G6" s="10" t="inlineStr"/>
      <c r="H6" s="10" t="inlineStr"/>
      <c r="I6" s="10" t="inlineStr"/>
      <c r="J6" s="10" t="inlineStr">
        <is>
          <t>Sin ejecutar</t>
        </is>
      </c>
      <c r="K6" s="10" t="inlineStr"/>
      <c r="L6" s="10" t="inlineStr"/>
    </row>
    <row r="7">
      <c r="A7" s="9" t="inlineStr">
        <is>
          <t>TU-03</t>
        </is>
      </c>
      <c r="B7" s="9" t="inlineStr">
        <is>
          <t>TU</t>
        </is>
      </c>
      <c r="C7" s="9" t="inlineStr">
        <is>
          <t>Respuesta incorrecta: indica incorrecta, muestra retroalimentación y también registra la pregunta.</t>
        </is>
      </c>
      <c r="D7" s="9" t="inlineStr">
        <is>
          <t>RF-02</t>
        </is>
      </c>
      <c r="E7" s="9" t="inlineStr">
        <is>
          <t>CA-02</t>
        </is>
      </c>
      <c r="F7" s="9" t="inlineStr">
        <is>
          <t>CU-01</t>
        </is>
      </c>
      <c r="G7" s="10" t="inlineStr"/>
      <c r="H7" s="10" t="inlineStr"/>
      <c r="I7" s="10" t="inlineStr"/>
      <c r="J7" s="10" t="inlineStr">
        <is>
          <t>Sin ejecutar</t>
        </is>
      </c>
      <c r="K7" s="10" t="inlineStr"/>
      <c r="L7" s="10" t="inlineStr"/>
    </row>
    <row r="8">
      <c r="A8" s="9" t="inlineStr">
        <is>
          <t>TU-04</t>
        </is>
      </c>
      <c r="B8" s="9" t="inlineStr">
        <is>
          <t>TU</t>
        </is>
      </c>
      <c r="C8" s="9" t="inlineStr">
        <is>
          <t>Responder de nuevo una pregunta no aumenta el conteo.</t>
        </is>
      </c>
      <c r="D8" s="9" t="inlineStr">
        <is>
          <t>RF-02</t>
        </is>
      </c>
      <c r="E8" s="9" t="inlineStr">
        <is>
          <t>RP-02</t>
        </is>
      </c>
      <c r="F8" s="9" t="inlineStr">
        <is>
          <t>CU-01</t>
        </is>
      </c>
      <c r="G8" s="10" t="inlineStr"/>
      <c r="H8" s="10" t="inlineStr"/>
      <c r="I8" s="10" t="inlineStr"/>
      <c r="J8" s="10" t="inlineStr">
        <is>
          <t>Sin ejecutar</t>
        </is>
      </c>
      <c r="K8" s="10" t="inlineStr"/>
      <c r="L8" s="10" t="inlineStr"/>
    </row>
    <row r="9">
      <c r="A9" s="9" t="inlineStr">
        <is>
          <t>TU-05</t>
        </is>
      </c>
      <c r="B9" s="9" t="inlineStr">
        <is>
          <t>TU</t>
        </is>
      </c>
      <c r="C9" s="9" t="inlineStr">
        <is>
          <t>El catálogo contiene CT-01 a CT-10.</t>
        </is>
      </c>
      <c r="D9" s="9" t="inlineStr">
        <is>
          <t>RF-01</t>
        </is>
      </c>
      <c r="E9" s="9" t="inlineStr">
        <is>
          <t>CA-01</t>
        </is>
      </c>
      <c r="F9" s="9" t="inlineStr">
        <is>
          <t>CU-05</t>
        </is>
      </c>
      <c r="G9" s="10" t="inlineStr"/>
      <c r="H9" s="10" t="inlineStr"/>
      <c r="I9" s="10" t="inlineStr"/>
      <c r="J9" s="10" t="inlineStr">
        <is>
          <t>Sin ejecutar</t>
        </is>
      </c>
      <c r="K9" s="10" t="inlineStr"/>
      <c r="L9" s="10" t="inlineStr"/>
    </row>
    <row r="10">
      <c r="A10" s="9" t="inlineStr">
        <is>
          <t>TU-06</t>
        </is>
      </c>
      <c r="B10" s="9" t="inlineStr">
        <is>
          <t>TU</t>
        </is>
      </c>
      <c r="C10" s="9" t="inlineStr">
        <is>
          <t>Un catálogo inválido se rechaza con mensaje de contenido no disponible.</t>
        </is>
      </c>
      <c r="D10" s="9" t="inlineStr">
        <is>
          <t>RF-01</t>
        </is>
      </c>
      <c r="E10" s="9" t="inlineStr">
        <is>
          <t>RP-01</t>
        </is>
      </c>
      <c r="F10" s="9" t="inlineStr">
        <is>
          <t>CU-05</t>
        </is>
      </c>
      <c r="G10" s="10" t="inlineStr"/>
      <c r="H10" s="10" t="inlineStr"/>
      <c r="I10" s="10" t="inlineStr"/>
      <c r="J10" s="10" t="inlineStr">
        <is>
          <t>Sin ejecutar</t>
        </is>
      </c>
      <c r="K10" s="10" t="inlineStr"/>
      <c r="L10" s="10" t="inlineStr"/>
    </row>
    <row r="11">
      <c r="A11" s="9" t="inlineStr">
        <is>
          <t>TU-07</t>
        </is>
      </c>
      <c r="B11" s="9" t="inlineStr">
        <is>
          <t>TU</t>
        </is>
      </c>
      <c r="C11" s="9" t="inlineStr">
        <is>
          <t>Subtema en gris, naranja y verde según preguntas respondidas.</t>
        </is>
      </c>
      <c r="D11" s="9" t="inlineStr">
        <is>
          <t>RF-04</t>
        </is>
      </c>
      <c r="E11" s="9" t="inlineStr">
        <is>
          <t>CA-04</t>
        </is>
      </c>
      <c r="F11" s="9" t="inlineStr">
        <is>
          <t>CU-03</t>
        </is>
      </c>
      <c r="G11" s="10" t="inlineStr"/>
      <c r="H11" s="10" t="inlineStr"/>
      <c r="I11" s="10" t="inlineStr"/>
      <c r="J11" s="10" t="inlineStr">
        <is>
          <t>Sin ejecutar</t>
        </is>
      </c>
      <c r="K11" s="10" t="inlineStr"/>
      <c r="L11" s="10" t="inlineStr"/>
    </row>
    <row r="12">
      <c r="A12" s="9" t="inlineStr">
        <is>
          <t>TU-08</t>
        </is>
      </c>
      <c r="B12" s="9" t="inlineStr">
        <is>
          <t>TU</t>
        </is>
      </c>
      <c r="C12" s="9" t="inlineStr">
        <is>
          <t>Cada estado muestra texto e ícono además del color.</t>
        </is>
      </c>
      <c r="D12" s="9" t="inlineStr">
        <is>
          <t>RF-04, RNF-05</t>
        </is>
      </c>
      <c r="E12" s="9" t="inlineStr">
        <is>
          <t>CA-04 ampliado</t>
        </is>
      </c>
      <c r="F12" s="9" t="inlineStr">
        <is>
          <t>CU-03</t>
        </is>
      </c>
      <c r="G12" s="10" t="inlineStr"/>
      <c r="H12" s="10" t="inlineStr"/>
      <c r="I12" s="10" t="inlineStr"/>
      <c r="J12" s="10" t="inlineStr">
        <is>
          <t>Sin ejecutar</t>
        </is>
      </c>
      <c r="K12" s="10" t="inlineStr"/>
      <c r="L12" s="10" t="inlineStr"/>
    </row>
    <row r="13">
      <c r="A13" s="9" t="inlineStr">
        <is>
          <t>TU-09</t>
        </is>
      </c>
      <c r="B13" s="9" t="inlineStr">
        <is>
          <t>TU</t>
        </is>
      </c>
      <c r="C13" s="9" t="inlineStr">
        <is>
          <t>El tema se completa al completarse su último subtema.</t>
        </is>
      </c>
      <c r="D13" s="9" t="inlineStr">
        <is>
          <t>RF-05</t>
        </is>
      </c>
      <c r="E13" s="9" t="inlineStr">
        <is>
          <t>CA-05</t>
        </is>
      </c>
      <c r="F13" s="9" t="inlineStr">
        <is>
          <t>CU-04</t>
        </is>
      </c>
      <c r="G13" s="10" t="inlineStr"/>
      <c r="H13" s="10" t="inlineStr"/>
      <c r="I13" s="10" t="inlineStr"/>
      <c r="J13" s="10" t="inlineStr">
        <is>
          <t>Sin ejecutar</t>
        </is>
      </c>
      <c r="K13" s="10" t="inlineStr"/>
      <c r="L13" s="10" t="inlineStr"/>
    </row>
    <row r="14">
      <c r="A14" s="9" t="inlineStr">
        <is>
          <t>TU-10</t>
        </is>
      </c>
      <c r="B14" s="9" t="inlineStr">
        <is>
          <t>TU</t>
        </is>
      </c>
      <c r="C14" s="9" t="inlineStr">
        <is>
          <t>El módulo se completa aunque queden actividades pendientes.</t>
        </is>
      </c>
      <c r="D14" s="9" t="inlineStr">
        <is>
          <t>RF-05</t>
        </is>
      </c>
      <c r="E14" s="9" t="inlineStr">
        <is>
          <t>CA-05</t>
        </is>
      </c>
      <c r="F14" s="9" t="inlineStr">
        <is>
          <t>CU-04</t>
        </is>
      </c>
      <c r="G14" s="10" t="inlineStr"/>
      <c r="H14" s="10" t="inlineStr"/>
      <c r="I14" s="10" t="inlineStr"/>
      <c r="J14" s="10" t="inlineStr">
        <is>
          <t>Sin ejecutar</t>
        </is>
      </c>
      <c r="K14" s="10" t="inlineStr"/>
      <c r="L14" s="10" t="inlineStr"/>
    </row>
    <row r="15">
      <c r="A15" s="9" t="inlineStr">
        <is>
          <t>TU-11</t>
        </is>
      </c>
      <c r="B15" s="9" t="inlineStr">
        <is>
          <t>TU</t>
        </is>
      </c>
      <c r="C15" s="9" t="inlineStr">
        <is>
          <t>Una actividad con elementos pendientes no se registra como realizada.</t>
        </is>
      </c>
      <c r="D15" s="9" t="inlineStr">
        <is>
          <t>RF-03</t>
        </is>
      </c>
      <c r="E15" s="9" t="inlineStr">
        <is>
          <t>CA-03</t>
        </is>
      </c>
      <c r="F15" s="9" t="inlineStr">
        <is>
          <t>CU-02</t>
        </is>
      </c>
      <c r="G15" s="10" t="inlineStr"/>
      <c r="H15" s="10" t="inlineStr"/>
      <c r="I15" s="10" t="inlineStr"/>
      <c r="J15" s="10" t="inlineStr">
        <is>
          <t>Sin ejecutar</t>
        </is>
      </c>
      <c r="K15" s="10" t="inlineStr"/>
      <c r="L15" s="10" t="inlineStr"/>
    </row>
    <row r="16">
      <c r="A16" s="9" t="inlineStr">
        <is>
          <t>TU-12</t>
        </is>
      </c>
      <c r="B16" s="9" t="inlineStr">
        <is>
          <t>TU</t>
        </is>
      </c>
      <c r="C16" s="9" t="inlineStr">
        <is>
          <t>La actividad completa se registra y su recompensa se asigna una sola vez.</t>
        </is>
      </c>
      <c r="D16" s="9" t="inlineStr">
        <is>
          <t>RF-03, RNF-07</t>
        </is>
      </c>
      <c r="E16" s="9" t="inlineStr">
        <is>
          <t>CA-03, RP-03</t>
        </is>
      </c>
      <c r="F16" s="9" t="inlineStr">
        <is>
          <t>CU-02</t>
        </is>
      </c>
      <c r="G16" s="10" t="inlineStr"/>
      <c r="H16" s="10" t="inlineStr"/>
      <c r="I16" s="10" t="inlineStr"/>
      <c r="J16" s="10" t="inlineStr">
        <is>
          <t>Sin ejecutar</t>
        </is>
      </c>
      <c r="K16" s="10" t="inlineStr"/>
      <c r="L16" s="10" t="inlineStr"/>
    </row>
    <row r="17">
      <c r="A17" s="9" t="inlineStr">
        <is>
          <t>TU-13</t>
        </is>
      </c>
      <c r="B17" s="9" t="inlineStr">
        <is>
          <t>TU</t>
        </is>
      </c>
      <c r="C17" s="9" t="inlineStr">
        <is>
          <t>Cada logro obtenido muestra nombre y condición.</t>
        </is>
      </c>
      <c r="D17" s="9" t="inlineStr">
        <is>
          <t>RF-06</t>
        </is>
      </c>
      <c r="E17" s="9" t="inlineStr">
        <is>
          <t>CA-06</t>
        </is>
      </c>
      <c r="F17" s="9" t="inlineStr">
        <is>
          <t>CU-06</t>
        </is>
      </c>
      <c r="G17" s="10" t="inlineStr"/>
      <c r="H17" s="10" t="inlineStr"/>
      <c r="I17" s="10" t="inlineStr"/>
      <c r="J17" s="10" t="inlineStr">
        <is>
          <t>Sin ejecutar</t>
        </is>
      </c>
      <c r="K17" s="10" t="inlineStr"/>
      <c r="L17" s="10" t="inlineStr"/>
    </row>
    <row r="18">
      <c r="A18" s="9" t="inlineStr">
        <is>
          <t>TU-14</t>
        </is>
      </c>
      <c r="B18" s="9" t="inlineStr">
        <is>
          <t>TU</t>
        </is>
      </c>
      <c r="C18" s="9" t="inlineStr">
        <is>
          <t>Guardar y recuperar conserva avance, actividades, puntos y logros.</t>
        </is>
      </c>
      <c r="D18" s="9" t="inlineStr">
        <is>
          <t>RF-08, RNF-02, RNF-07</t>
        </is>
      </c>
      <c r="E18" s="9" t="inlineStr">
        <is>
          <t>CA-08</t>
        </is>
      </c>
      <c r="F18" s="9" t="inlineStr">
        <is>
          <t>Transversal</t>
        </is>
      </c>
      <c r="G18" s="10" t="inlineStr"/>
      <c r="H18" s="10" t="inlineStr"/>
      <c r="I18" s="10" t="inlineStr"/>
      <c r="J18" s="10" t="inlineStr">
        <is>
          <t>Sin ejecutar</t>
        </is>
      </c>
      <c r="K18" s="10" t="inlineStr"/>
      <c r="L18" s="10" t="inlineStr"/>
    </row>
    <row r="19">
      <c r="A19" s="9" t="inlineStr">
        <is>
          <t>TU-15</t>
        </is>
      </c>
      <c r="B19" s="9" t="inlineStr">
        <is>
          <t>TU</t>
        </is>
      </c>
      <c r="C19" s="9" t="inlineStr">
        <is>
          <t>Una falla de escritura conserva el último estado válido y muestra error.</t>
        </is>
      </c>
      <c r="D19" s="9" t="inlineStr">
        <is>
          <t>RF-08, RNF-08</t>
        </is>
      </c>
      <c r="E19" s="9" t="inlineStr">
        <is>
          <t>RP-05</t>
        </is>
      </c>
      <c r="F19" s="9" t="inlineStr">
        <is>
          <t>Transversal</t>
        </is>
      </c>
      <c r="G19" s="10" t="inlineStr"/>
      <c r="H19" s="10" t="inlineStr"/>
      <c r="I19" s="10" t="inlineStr"/>
      <c r="J19" s="10" t="inlineStr">
        <is>
          <t>Sin ejecutar</t>
        </is>
      </c>
      <c r="K19" s="10" t="inlineStr"/>
      <c r="L19" s="10" t="inlineStr"/>
    </row>
    <row r="20">
      <c r="A20" s="9" t="inlineStr">
        <is>
          <t>TI-01</t>
        </is>
      </c>
      <c r="B20" s="9" t="inlineStr">
        <is>
          <t>TI</t>
        </is>
      </c>
      <c r="C20" s="9" t="inlineStr">
        <is>
          <t>Inicio → módulo → tema → subtema sin modificar el avance.</t>
        </is>
      </c>
      <c r="D20" s="9" t="inlineStr">
        <is>
          <t>RF-01</t>
        </is>
      </c>
      <c r="E20" s="9" t="inlineStr">
        <is>
          <t>CA-01</t>
        </is>
      </c>
      <c r="F20" s="9" t="inlineStr">
        <is>
          <t>CU-05</t>
        </is>
      </c>
      <c r="G20" s="10" t="inlineStr"/>
      <c r="H20" s="10" t="inlineStr"/>
      <c r="I20" s="10" t="inlineStr"/>
      <c r="J20" s="10" t="inlineStr">
        <is>
          <t>Sin ejecutar</t>
        </is>
      </c>
      <c r="K20" s="10" t="inlineStr"/>
      <c r="L20" s="10" t="inlineStr"/>
    </row>
    <row r="21">
      <c r="A21" s="9" t="inlineStr">
        <is>
          <t>TI-02</t>
        </is>
      </c>
      <c r="B21" s="9" t="inlineStr">
        <is>
          <t>TI</t>
        </is>
      </c>
      <c r="C21" s="9" t="inlineStr">
        <is>
          <t>Responder todas las preguntas de un subtema: pasa a verde y se conserva al reabrir.</t>
        </is>
      </c>
      <c r="D21" s="9" t="inlineStr">
        <is>
          <t>RF-02, RF-04</t>
        </is>
      </c>
      <c r="E21" s="9" t="inlineStr">
        <is>
          <t>CA-02, CA-04</t>
        </is>
      </c>
      <c r="F21" s="9" t="inlineStr">
        <is>
          <t>CU-01, CU-03</t>
        </is>
      </c>
      <c r="G21" s="10" t="inlineStr"/>
      <c r="H21" s="10" t="inlineStr"/>
      <c r="I21" s="10" t="inlineStr"/>
      <c r="J21" s="10" t="inlineStr">
        <is>
          <t>Sin ejecutar</t>
        </is>
      </c>
      <c r="K21" s="10" t="inlineStr"/>
      <c r="L21" s="10" t="inlineStr"/>
    </row>
    <row r="22">
      <c r="A22" s="9" t="inlineStr">
        <is>
          <t>TI-03</t>
        </is>
      </c>
      <c r="B22" s="9" t="inlineStr">
        <is>
          <t>TI</t>
        </is>
      </c>
      <c r="C22" s="9" t="inlineStr">
        <is>
          <t>Completar el último subtema completa tema y módulo.</t>
        </is>
      </c>
      <c r="D22" s="9" t="inlineStr">
        <is>
          <t>RF-05</t>
        </is>
      </c>
      <c r="E22" s="9" t="inlineStr">
        <is>
          <t>CA-05</t>
        </is>
      </c>
      <c r="F22" s="9" t="inlineStr">
        <is>
          <t>CU-04</t>
        </is>
      </c>
      <c r="G22" s="10" t="inlineStr"/>
      <c r="H22" s="10" t="inlineStr"/>
      <c r="I22" s="10" t="inlineStr"/>
      <c r="J22" s="10" t="inlineStr">
        <is>
          <t>Sin ejecutar</t>
        </is>
      </c>
      <c r="K22" s="10" t="inlineStr"/>
      <c r="L22" s="10" t="inlineStr"/>
    </row>
    <row r="23">
      <c r="A23" s="9" t="inlineStr">
        <is>
          <t>TI-04</t>
        </is>
      </c>
      <c r="B23" s="9" t="inlineStr">
        <is>
          <t>TI</t>
        </is>
      </c>
      <c r="C23" s="9" t="inlineStr">
        <is>
          <t>Realizar una actividad, reabrir y repetirla sin duplicar recompensas.</t>
        </is>
      </c>
      <c r="D23" s="9" t="inlineStr">
        <is>
          <t>RF-03, RNF-07</t>
        </is>
      </c>
      <c r="E23" s="9" t="inlineStr">
        <is>
          <t>CA-03, RP-03</t>
        </is>
      </c>
      <c r="F23" s="9" t="inlineStr">
        <is>
          <t>CU-02</t>
        </is>
      </c>
      <c r="G23" s="10" t="inlineStr"/>
      <c r="H23" s="10" t="inlineStr"/>
      <c r="I23" s="10" t="inlineStr"/>
      <c r="J23" s="10" t="inlineStr">
        <is>
          <t>Sin ejecutar</t>
        </is>
      </c>
      <c r="K23" s="10" t="inlineStr"/>
      <c r="L23" s="10" t="inlineStr"/>
    </row>
    <row r="24">
      <c r="A24" s="9" t="inlineStr">
        <is>
          <t>TI-05</t>
        </is>
      </c>
      <c r="B24" s="9" t="inlineStr">
        <is>
          <t>TI</t>
        </is>
      </c>
      <c r="C24" s="9" t="inlineStr">
        <is>
          <t>Obtener un logro y consultarlo (requiere D-02).</t>
        </is>
      </c>
      <c r="D24" s="9" t="inlineStr">
        <is>
          <t>RF-06</t>
        </is>
      </c>
      <c r="E24" s="9" t="inlineStr">
        <is>
          <t>CA-06</t>
        </is>
      </c>
      <c r="F24" s="9" t="inlineStr">
        <is>
          <t>CU-06</t>
        </is>
      </c>
      <c r="G24" s="10" t="inlineStr"/>
      <c r="H24" s="10" t="inlineStr"/>
      <c r="I24" s="10" t="inlineStr"/>
      <c r="J24" s="10" t="inlineStr">
        <is>
          <t>Sin ejecutar</t>
        </is>
      </c>
      <c r="K24" s="10" t="inlineStr"/>
      <c r="L24" s="10" t="inlineStr"/>
    </row>
    <row r="25">
      <c r="A25" s="9" t="inlineStr">
        <is>
          <t>TI-06</t>
        </is>
      </c>
      <c r="B25" s="9" t="inlineStr">
        <is>
          <t>TI</t>
        </is>
      </c>
      <c r="C25" s="9" t="inlineStr">
        <is>
          <t>Con modo avión: recorrer, completar un subtema y una actividad, cerrar y reabrir.</t>
        </is>
      </c>
      <c r="D25" s="9" t="inlineStr">
        <is>
          <t>RF-08, RNF-02</t>
        </is>
      </c>
      <c r="E25" s="9" t="inlineStr">
        <is>
          <t>CA-08</t>
        </is>
      </c>
      <c r="F25" s="9" t="inlineStr">
        <is>
          <t>Transversal</t>
        </is>
      </c>
      <c r="G25" s="10" t="inlineStr"/>
      <c r="H25" s="10" t="inlineStr"/>
      <c r="I25" s="10" t="inlineStr"/>
      <c r="J25" s="10" t="inlineStr">
        <is>
          <t>Sin ejecutar</t>
        </is>
      </c>
      <c r="K25" s="10" t="inlineStr"/>
      <c r="L25" s="10" t="inlineStr"/>
    </row>
    <row r="26">
      <c r="A26" s="9" t="inlineStr">
        <is>
          <t>TI-07</t>
        </is>
      </c>
      <c r="B26" s="9" t="inlineStr">
        <is>
          <t>TI</t>
        </is>
      </c>
      <c r="C26" s="9" t="inlineStr">
        <is>
          <t>20 aperturas consecutivas de contenido por plataforma dentro del umbral.</t>
        </is>
      </c>
      <c r="D26" s="9" t="inlineStr">
        <is>
          <t>RNF-06</t>
        </is>
      </c>
      <c r="E26" s="9" t="inlineStr">
        <is>
          <t>D-05</t>
        </is>
      </c>
      <c r="F26" s="9" t="inlineStr">
        <is>
          <t>CU-05, CU-01</t>
        </is>
      </c>
      <c r="G26" s="10" t="inlineStr"/>
      <c r="H26" s="10" t="inlineStr"/>
      <c r="I26" s="10" t="inlineStr"/>
      <c r="J26" s="10" t="inlineStr">
        <is>
          <t>Sin ejecutar</t>
        </is>
      </c>
      <c r="K26" s="10" t="inlineStr"/>
      <c r="L26" s="10" t="inlineStr"/>
    </row>
    <row r="27">
      <c r="A27" s="9" t="inlineStr">
        <is>
          <t>TI-08</t>
        </is>
      </c>
      <c r="B27" s="9" t="inlineStr">
        <is>
          <t>TI</t>
        </is>
      </c>
      <c r="C27" s="9" t="inlineStr">
        <is>
          <t>Flujos CU-01 a CU-06 en los dispositivos de D-03.</t>
        </is>
      </c>
      <c r="D27" s="9" t="inlineStr">
        <is>
          <t>RNF-01, RNF-05, RNF-10</t>
        </is>
      </c>
      <c r="E27" s="9" t="inlineStr">
        <is>
          <t>CA aplicables</t>
        </is>
      </c>
      <c r="F27" s="9" t="inlineStr">
        <is>
          <t>CU-01 a CU-06</t>
        </is>
      </c>
      <c r="G27" s="10" t="inlineStr"/>
      <c r="H27" s="10" t="inlineStr"/>
      <c r="I27" s="10" t="inlineStr"/>
      <c r="J27" s="10" t="inlineStr">
        <is>
          <t>Sin ejecutar</t>
        </is>
      </c>
      <c r="K27" s="10" t="inlineStr"/>
      <c r="L27" s="10" t="inlineStr"/>
    </row>
    <row r="28">
      <c r="A28" s="9" t="inlineStr">
        <is>
          <t>INS-01</t>
        </is>
      </c>
      <c r="B28" s="9" t="inlineStr">
        <is>
          <t>INS</t>
        </is>
      </c>
      <c r="C28" s="9" t="inlineStr">
        <is>
          <t>Repositorio y configuración de compilación.</t>
        </is>
      </c>
      <c r="D28" s="9" t="inlineStr">
        <is>
          <t>RNF-03</t>
        </is>
      </c>
      <c r="E28" s="9" t="inlineStr">
        <is>
          <t>—</t>
        </is>
      </c>
      <c r="F28" s="9" t="inlineStr">
        <is>
          <t>—</t>
        </is>
      </c>
      <c r="G28" s="10" t="inlineStr"/>
      <c r="H28" s="10" t="inlineStr"/>
      <c r="I28" s="10" t="inlineStr"/>
      <c r="J28" s="10" t="inlineStr">
        <is>
          <t>Sin ejecutar</t>
        </is>
      </c>
      <c r="K28" s="10" t="inlineStr"/>
      <c r="L28" s="10" t="inlineStr"/>
    </row>
    <row r="29">
      <c r="A29" s="9" t="inlineStr">
        <is>
          <t>INS-02</t>
        </is>
      </c>
      <c r="B29" s="9" t="inlineStr">
        <is>
          <t>INS</t>
        </is>
      </c>
      <c r="C29" s="9" t="inlineStr">
        <is>
          <t>Pantallas y reglas sin compras, evaluación formal ni videojuego.</t>
        </is>
      </c>
      <c r="D29" s="9" t="inlineStr">
        <is>
          <t>RNF-04</t>
        </is>
      </c>
      <c r="E29" s="9" t="inlineStr">
        <is>
          <t>—</t>
        </is>
      </c>
      <c r="F29" s="9" t="inlineStr">
        <is>
          <t>—</t>
        </is>
      </c>
      <c r="G29" s="10" t="inlineStr"/>
      <c r="H29" s="10" t="inlineStr"/>
      <c r="I29" s="10" t="inlineStr"/>
      <c r="J29" s="10" t="inlineStr">
        <is>
          <t>Sin ejecutar</t>
        </is>
      </c>
      <c r="K29" s="10" t="inlineStr"/>
      <c r="L29" s="10" t="inlineStr"/>
    </row>
    <row r="30">
      <c r="A30" s="9" t="inlineStr">
        <is>
          <t>INS-03</t>
        </is>
      </c>
      <c r="B30" s="9" t="inlineStr">
        <is>
          <t>INS</t>
        </is>
      </c>
      <c r="C30" s="9" t="inlineStr">
        <is>
          <t>Separación de contenido, lógica, persistencia e interfaz.</t>
        </is>
      </c>
      <c r="D30" s="9" t="inlineStr">
        <is>
          <t>RNF-09</t>
        </is>
      </c>
      <c r="E30" s="9" t="inlineStr">
        <is>
          <t>—</t>
        </is>
      </c>
      <c r="F30" s="9" t="inlineStr">
        <is>
          <t>—</t>
        </is>
      </c>
      <c r="G30" s="10" t="inlineStr"/>
      <c r="H30" s="10" t="inlineStr"/>
      <c r="I30" s="10" t="inlineStr"/>
      <c r="J30" s="10" t="inlineStr">
        <is>
          <t>Sin ejecutar</t>
        </is>
      </c>
      <c r="K30" s="10" t="inlineStr"/>
      <c r="L30" s="10" t="inlineStr"/>
    </row>
    <row r="31">
      <c r="A31" s="9" t="inlineStr">
        <is>
          <t>INS-04</t>
        </is>
      </c>
      <c r="B31" s="9" t="inlineStr">
        <is>
          <t>INS</t>
        </is>
      </c>
      <c r="C31" s="9" t="inlineStr">
        <is>
          <t>Permisos de la app e inventario de autoría y licencias.</t>
        </is>
      </c>
      <c r="D31" s="9" t="inlineStr">
        <is>
          <t>RNF-08, RNF-11</t>
        </is>
      </c>
      <c r="E31" s="9" t="inlineStr">
        <is>
          <t>—</t>
        </is>
      </c>
      <c r="F31" s="9" t="inlineStr">
        <is>
          <t>—</t>
        </is>
      </c>
      <c r="G31" s="10" t="inlineStr"/>
      <c r="H31" s="10" t="inlineStr"/>
      <c r="I31" s="10" t="inlineStr"/>
      <c r="J31" s="10" t="inlineStr">
        <is>
          <t>Sin ejecutar</t>
        </is>
      </c>
      <c r="K31" s="10" t="inlineStr"/>
      <c r="L31" s="10" t="inlineStr"/>
    </row>
    <row r="32">
      <c r="A32" s="9" t="inlineStr">
        <is>
          <t>VC-01</t>
        </is>
      </c>
      <c r="B32" s="9" t="inlineStr">
        <is>
          <t>VC</t>
        </is>
      </c>
      <c r="C32" s="9" t="inlineStr">
        <is>
          <t>Validación del SRS v0.4 con la cliente (sesión del 14/10).</t>
        </is>
      </c>
      <c r="D32" s="9" t="inlineStr">
        <is>
          <t>Todos los RF</t>
        </is>
      </c>
      <c r="E32" s="9" t="inlineStr">
        <is>
          <t>D-06</t>
        </is>
      </c>
      <c r="F32" s="9" t="inlineStr">
        <is>
          <t>—</t>
        </is>
      </c>
      <c r="G32" s="10" t="inlineStr"/>
      <c r="H32" s="10" t="inlineStr"/>
      <c r="I32" s="10" t="inlineStr"/>
      <c r="J32" s="10" t="inlineStr">
        <is>
          <t>Sin ejecutar</t>
        </is>
      </c>
      <c r="K32" s="10" t="inlineStr"/>
      <c r="L32" s="10" t="inlineStr"/>
    </row>
    <row r="33">
      <c r="A33" s="9" t="inlineStr">
        <is>
          <t>VC-02</t>
        </is>
      </c>
      <c r="B33" s="9" t="inlineStr">
        <is>
          <t>VC</t>
        </is>
      </c>
      <c r="C33" s="9" t="inlineStr">
        <is>
          <t>Sprint Review con la cliente: validación del incremento.</t>
        </is>
      </c>
      <c r="D33" s="9" t="inlineStr">
        <is>
          <t>RF-01 a RF-06, RNF-04, RNF-05</t>
        </is>
      </c>
      <c r="E33" s="9" t="inlineStr">
        <is>
          <t>—</t>
        </is>
      </c>
      <c r="F33" s="9" t="inlineStr">
        <is>
          <t>CU-01 a CU-06</t>
        </is>
      </c>
      <c r="G33" s="10" t="inlineStr"/>
      <c r="H33" s="10" t="inlineStr"/>
      <c r="I33" s="10" t="inlineStr"/>
      <c r="J33" s="10" t="inlineStr">
        <is>
          <t>Sin ejecutar</t>
        </is>
      </c>
      <c r="K33" s="10" t="inlineStr"/>
      <c r="L33" s="10" t="inlineStr"/>
    </row>
    <row r="34">
      <c r="A34" s="9" t="inlineStr">
        <is>
          <t>VC-03</t>
        </is>
      </c>
      <c r="B34" s="9" t="inlineStr">
        <is>
          <t>VC</t>
        </is>
      </c>
      <c r="C34" s="9" t="inlineStr">
        <is>
          <t>La Guía de operación coincide con la aplicación real.</t>
        </is>
      </c>
      <c r="D34" s="9" t="inlineStr">
        <is>
          <t>ENT-02</t>
        </is>
      </c>
      <c r="E34" s="9" t="inlineStr">
        <is>
          <t>—</t>
        </is>
      </c>
      <c r="F34" s="9" t="inlineStr">
        <is>
          <t>—</t>
        </is>
      </c>
      <c r="G34" s="10" t="inlineStr"/>
      <c r="H34" s="10" t="inlineStr"/>
      <c r="I34" s="10" t="inlineStr"/>
      <c r="J34" s="10" t="inlineStr">
        <is>
          <t>Sin ejecutar</t>
        </is>
      </c>
      <c r="K34" s="10" t="inlineStr"/>
      <c r="L34" s="10" t="inlineStr"/>
    </row>
  </sheetData>
  <dataValidations count="1">
    <dataValidation sqref="J5:J34" showDropDown="0" showInputMessage="0" showErrorMessage="0" allowBlank="1" type="list">
      <formula1>"Sin ejecutar,Aprobada,Fallida,Bloqueada"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18" customWidth="1" min="3" max="3"/>
    <col width="20" customWidth="1" min="4" max="4"/>
    <col width="16" customWidth="1" min="5" max="5"/>
    <col width="30" customWidth="1" min="6" max="6"/>
    <col width="40" customWidth="1" min="7" max="7"/>
  </cols>
  <sheetData>
    <row r="1">
      <c r="A1" s="6" t="inlineStr">
        <is>
          <t>Contenidos CT-01 a CT-10 — PSPS</t>
        </is>
      </c>
    </row>
    <row r="2">
      <c r="A2" s="7" t="inlineStr">
        <is>
          <t>Agreement §4 · SRS §1.3. La agrupación en módulos y los subtemas se validan en D-01.</t>
        </is>
      </c>
    </row>
    <row r="4">
      <c r="A4" s="8" t="inlineStr">
        <is>
          <t>ID</t>
        </is>
      </c>
      <c r="B4" s="8" t="inlineStr">
        <is>
          <t>Tema</t>
        </is>
      </c>
      <c r="C4" s="8" t="inlineStr">
        <is>
          <t>Módulo</t>
        </is>
      </c>
      <c r="D4" s="8" t="inlineStr">
        <is>
          <t>Subtemas / preguntas</t>
        </is>
      </c>
      <c r="E4" s="8" t="inlineStr">
        <is>
          <t>Actividad</t>
        </is>
      </c>
      <c r="F4" s="8" t="inlineStr">
        <is>
          <t>Estado del contenido</t>
        </is>
      </c>
      <c r="G4" s="8" t="inlineStr">
        <is>
          <t>Observaciones</t>
        </is>
      </c>
    </row>
    <row r="5">
      <c r="A5" s="9" t="inlineStr">
        <is>
          <t>CT-01</t>
        </is>
      </c>
      <c r="B5" s="9" t="inlineStr">
        <is>
          <t>Arreglos bidimensionales</t>
        </is>
      </c>
      <c r="C5" s="10" t="inlineStr">
        <is>
          <t>Por validar (D-01)</t>
        </is>
      </c>
      <c r="D5" s="10" t="inlineStr"/>
      <c r="E5" s="10" t="inlineStr"/>
      <c r="F5" s="9" t="inlineStr">
        <is>
          <t>Provisional (MR-07)</t>
        </is>
      </c>
      <c r="G5" s="9" t="inlineStr"/>
    </row>
    <row r="6">
      <c r="A6" s="9" t="inlineStr">
        <is>
          <t>CT-02</t>
        </is>
      </c>
      <c r="B6" s="9" t="inlineStr">
        <is>
          <t>Pilas</t>
        </is>
      </c>
      <c r="C6" s="10" t="inlineStr">
        <is>
          <t>Por validar (D-01)</t>
        </is>
      </c>
      <c r="D6" s="10" t="inlineStr"/>
      <c r="E6" s="10" t="inlineStr"/>
      <c r="F6" s="9" t="inlineStr">
        <is>
          <t>Provisional (MR-07)</t>
        </is>
      </c>
      <c r="G6" s="9" t="inlineStr"/>
    </row>
    <row r="7">
      <c r="A7" s="9" t="inlineStr">
        <is>
          <t>CT-03</t>
        </is>
      </c>
      <c r="B7" s="9" t="inlineStr">
        <is>
          <t>Colas</t>
        </is>
      </c>
      <c r="C7" s="10" t="inlineStr">
        <is>
          <t>Por validar (D-01)</t>
        </is>
      </c>
      <c r="D7" s="10" t="inlineStr"/>
      <c r="E7" s="10" t="inlineStr"/>
      <c r="F7" s="9" t="inlineStr">
        <is>
          <t>Provisional (MR-07)</t>
        </is>
      </c>
      <c r="G7" s="9" t="inlineStr">
        <is>
          <t>El Agreement dice «Cola»; el SRS usa «Colas».</t>
        </is>
      </c>
    </row>
    <row r="8">
      <c r="A8" s="9" t="inlineStr">
        <is>
          <t>CT-04</t>
        </is>
      </c>
      <c r="B8" s="9" t="inlineStr">
        <is>
          <t>Algoritmos de ordenamiento</t>
        </is>
      </c>
      <c r="C8" s="10" t="inlineStr">
        <is>
          <t>Por validar (D-01)</t>
        </is>
      </c>
      <c r="D8" s="10" t="inlineStr"/>
      <c r="E8" s="10" t="inlineStr"/>
      <c r="F8" s="9" t="inlineStr">
        <is>
          <t>Provisional (MR-07)</t>
        </is>
      </c>
      <c r="G8" s="9" t="inlineStr"/>
    </row>
    <row r="9">
      <c r="A9" s="9" t="inlineStr">
        <is>
          <t>CT-05</t>
        </is>
      </c>
      <c r="B9" s="9" t="inlineStr">
        <is>
          <t>Lenguaje de manipulación de datos (DML)</t>
        </is>
      </c>
      <c r="C9" s="10" t="inlineStr">
        <is>
          <t>Por validar (D-01)</t>
        </is>
      </c>
      <c r="D9" s="10" t="inlineStr"/>
      <c r="E9" s="10" t="inlineStr"/>
      <c r="F9" s="9" t="inlineStr">
        <is>
          <t>Provisional (MR-07)</t>
        </is>
      </c>
      <c r="G9" s="9" t="inlineStr"/>
    </row>
    <row r="10">
      <c r="A10" s="9" t="inlineStr">
        <is>
          <t>CT-06</t>
        </is>
      </c>
      <c r="B10" s="9" t="inlineStr">
        <is>
          <t>Manejo de excepciones</t>
        </is>
      </c>
      <c r="C10" s="10" t="inlineStr">
        <is>
          <t>Por validar (D-01)</t>
        </is>
      </c>
      <c r="D10" s="10" t="inlineStr"/>
      <c r="E10" s="10" t="inlineStr"/>
      <c r="F10" s="9" t="inlineStr">
        <is>
          <t>Provisional (MR-07)</t>
        </is>
      </c>
      <c r="G10" s="9" t="inlineStr"/>
    </row>
    <row r="11">
      <c r="A11" s="9" t="inlineStr">
        <is>
          <t>CT-07</t>
        </is>
      </c>
      <c r="B11" s="9" t="inlineStr">
        <is>
          <t>Herencia en interfaces</t>
        </is>
      </c>
      <c r="C11" s="10" t="inlineStr">
        <is>
          <t>Por validar (D-01)</t>
        </is>
      </c>
      <c r="D11" s="10" t="inlineStr"/>
      <c r="E11" s="10" t="inlineStr"/>
      <c r="F11" s="9" t="inlineStr">
        <is>
          <t>Provisional (MR-07)</t>
        </is>
      </c>
      <c r="G11" s="9" t="inlineStr">
        <is>
          <t>Precisar alcance en D-01.</t>
        </is>
      </c>
    </row>
    <row r="12">
      <c r="A12" s="9" t="inlineStr">
        <is>
          <t>CT-08</t>
        </is>
      </c>
      <c r="B12" s="9" t="inlineStr">
        <is>
          <t>Clases y objetos</t>
        </is>
      </c>
      <c r="C12" s="10" t="inlineStr">
        <is>
          <t>Por validar (D-01)</t>
        </is>
      </c>
      <c r="D12" s="10" t="inlineStr"/>
      <c r="E12" s="10" t="inlineStr"/>
      <c r="F12" s="9" t="inlineStr">
        <is>
          <t>Provisional (MR-07)</t>
        </is>
      </c>
      <c r="G12" s="9" t="inlineStr"/>
    </row>
    <row r="13">
      <c r="A13" s="9" t="inlineStr">
        <is>
          <t>CT-09</t>
        </is>
      </c>
      <c r="B13" s="9" t="inlineStr">
        <is>
          <t>Modelos entidad-relación</t>
        </is>
      </c>
      <c r="C13" s="10" t="inlineStr">
        <is>
          <t>Por validar (D-01)</t>
        </is>
      </c>
      <c r="D13" s="10" t="inlineStr"/>
      <c r="E13" s="10" t="inlineStr"/>
      <c r="F13" s="9" t="inlineStr">
        <is>
          <t>Provisional (MR-07)</t>
        </is>
      </c>
      <c r="G13" s="9" t="inlineStr"/>
    </row>
    <row r="14">
      <c r="A14" s="9" t="inlineStr">
        <is>
          <t>CT-10</t>
        </is>
      </c>
      <c r="B14" s="9" t="inlineStr">
        <is>
          <t>Principios básicos de interacción humano-computadora</t>
        </is>
      </c>
      <c r="C14" s="10" t="inlineStr">
        <is>
          <t>Por validar (D-01)</t>
        </is>
      </c>
      <c r="D14" s="10" t="inlineStr"/>
      <c r="E14" s="10" t="inlineStr"/>
      <c r="F14" s="9" t="inlineStr">
        <is>
          <t>Provisional (MR-07)</t>
        </is>
      </c>
      <c r="G14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60" customWidth="1" min="3" max="3"/>
    <col width="18" customWidth="1" min="4" max="4"/>
    <col width="14" customWidth="1" min="5" max="5"/>
    <col width="11" customWidth="1" min="6" max="6"/>
    <col width="14" customWidth="1" min="7" max="7"/>
    <col width="26" customWidth="1" min="8" max="8"/>
  </cols>
  <sheetData>
    <row r="1">
      <c r="A1" s="6" t="inlineStr">
        <is>
          <t>Catálogo de gamificación — PSPS</t>
        </is>
      </c>
    </row>
    <row r="2">
      <c r="A2" s="7" t="inlineStr">
        <is>
          <t>SRS v0.4 §5.2: no se fijan cantidades, nombres ni condiciones hasta que la cliente apruebe D-02.</t>
        </is>
      </c>
    </row>
    <row r="4">
      <c r="A4" s="8" t="inlineStr">
        <is>
          <t>ID</t>
        </is>
      </c>
      <c r="B4" s="8" t="inlineStr">
        <is>
          <t>Evento o reconocimiento</t>
        </is>
      </c>
      <c r="C4" s="8" t="inlineStr">
        <is>
          <t>Regla (SRS v0.4)</t>
        </is>
      </c>
      <c r="D4" s="8" t="inlineStr">
        <is>
          <t>Requisitos</t>
        </is>
      </c>
      <c r="E4" s="8" t="inlineStr">
        <is>
          <t>Casos de uso</t>
        </is>
      </c>
      <c r="F4" s="8" t="inlineStr">
        <is>
          <t>Componente</t>
        </is>
      </c>
      <c r="G4" s="8" t="inlineStr">
        <is>
          <t>Pruebas</t>
        </is>
      </c>
      <c r="H4" s="8" t="inlineStr">
        <is>
          <t>Estado</t>
        </is>
      </c>
    </row>
    <row r="5">
      <c r="A5" s="9" t="inlineStr">
        <is>
          <t>G-01</t>
        </is>
      </c>
      <c r="B5" s="9" t="inlineStr">
        <is>
          <t>Puntos por actividad</t>
        </is>
      </c>
      <c r="C5" s="9" t="inlineStr">
        <is>
          <t>Definir cantidad y condiciones de asignación. Solo en la primera transición a realizada (RP-03).</t>
        </is>
      </c>
      <c r="D5" s="9" t="inlineStr">
        <is>
          <t>RF-03, RF-09</t>
        </is>
      </c>
      <c r="E5" s="9" t="inlineStr">
        <is>
          <t>CU-02</t>
        </is>
      </c>
      <c r="F5" s="9" t="inlineStr">
        <is>
          <t>C06</t>
        </is>
      </c>
      <c r="G5" s="9" t="inlineStr">
        <is>
          <t>TU-12, TI-04</t>
        </is>
      </c>
      <c r="H5" s="9" t="inlineStr">
        <is>
          <t>Pendiente de aprobación (D-02)</t>
        </is>
      </c>
    </row>
    <row r="6">
      <c r="A6" s="9" t="inlineStr">
        <is>
          <t>G-02</t>
        </is>
      </c>
      <c r="B6" s="9" t="inlineStr">
        <is>
          <t>Logros</t>
        </is>
      </c>
      <c r="C6" s="9" t="inlineStr">
        <is>
          <t>Definir nombres, condiciones y relación con progreso o actividades.</t>
        </is>
      </c>
      <c r="D6" s="9" t="inlineStr">
        <is>
          <t>RF-06</t>
        </is>
      </c>
      <c r="E6" s="9" t="inlineStr">
        <is>
          <t>CU-06</t>
        </is>
      </c>
      <c r="F6" s="9" t="inlineStr">
        <is>
          <t>C06</t>
        </is>
      </c>
      <c r="G6" s="9" t="inlineStr">
        <is>
          <t>TU-13, TI-05</t>
        </is>
      </c>
      <c r="H6" s="9" t="inlineStr">
        <is>
          <t>Pendiente de aprobación (D-02)</t>
        </is>
      </c>
    </row>
    <row r="7">
      <c r="A7" s="9" t="inlineStr">
        <is>
          <t>G-03</t>
        </is>
      </c>
      <c r="B7" s="9" t="inlineStr">
        <is>
          <t>Desbloqueos</t>
        </is>
      </c>
      <c r="C7" s="9" t="inlineStr">
        <is>
          <t>Definir qué se bloquea, sus condiciones y comportamiento. No pueden impedir terminar contenidos (RP-04).</t>
        </is>
      </c>
      <c r="D7" s="9" t="inlineStr">
        <is>
          <t>RF-07</t>
        </is>
      </c>
      <c r="E7" s="9" t="inlineStr">
        <is>
          <t>—</t>
        </is>
      </c>
      <c r="F7" s="9" t="inlineStr">
        <is>
          <t>C06</t>
        </is>
      </c>
      <c r="G7" s="9" t="inlineStr">
        <is>
          <t>—</t>
        </is>
      </c>
      <c r="H7" s="9" t="inlineStr">
        <is>
          <t>Pendiente de aprobación (D-02)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18" customWidth="1" min="3" max="3"/>
    <col width="18" customWidth="1" min="4" max="4"/>
    <col width="14" customWidth="1" min="5" max="5"/>
    <col width="16" customWidth="1" min="6" max="6"/>
    <col width="12" customWidth="1" min="7" max="7"/>
    <col width="44" customWidth="1" min="8" max="8"/>
  </cols>
  <sheetData>
    <row r="1">
      <c r="A1" s="6" t="inlineStr">
        <is>
          <t>Cobertura de los compromisos — PSPS</t>
        </is>
      </c>
    </row>
    <row r="2">
      <c r="A2" s="7" t="inlineStr">
        <is>
          <t>Del Agreement y el Project Plan hacia los requisitos.</t>
        </is>
      </c>
    </row>
    <row r="4">
      <c r="A4" s="8" t="inlineStr">
        <is>
          <t>ID</t>
        </is>
      </c>
      <c r="B4" s="8" t="inlineStr">
        <is>
          <t>Compromiso</t>
        </is>
      </c>
      <c r="C4" s="8" t="inlineStr">
        <is>
          <t>Origen</t>
        </is>
      </c>
      <c r="D4" s="8" t="inlineStr">
        <is>
          <t>Requisitos</t>
        </is>
      </c>
      <c r="E4" s="8" t="inlineStr">
        <is>
          <t>Casos de uso</t>
        </is>
      </c>
      <c r="F4" s="8" t="inlineStr">
        <is>
          <t>Pruebas</t>
        </is>
      </c>
      <c r="G4" s="8" t="inlineStr">
        <is>
          <t>Cobertura</t>
        </is>
      </c>
      <c r="H4" s="8" t="inlineStr">
        <is>
          <t>Observaciones</t>
        </is>
      </c>
    </row>
    <row r="5">
      <c r="A5" s="9" t="inlineStr">
        <is>
          <t>C-01</t>
        </is>
      </c>
      <c r="B5" s="9" t="inlineStr">
        <is>
          <t>Aplicación para Android e iOS</t>
        </is>
      </c>
      <c r="C5" s="9" t="inlineStr">
        <is>
          <t>Agreement §4; PP §4</t>
        </is>
      </c>
      <c r="D5" s="9" t="inlineStr">
        <is>
          <t>RNF-01</t>
        </is>
      </c>
      <c r="E5" s="9" t="inlineStr">
        <is>
          <t>Todos</t>
        </is>
      </c>
      <c r="F5" s="9" t="inlineStr">
        <is>
          <t>TI-08</t>
        </is>
      </c>
      <c r="G5" s="9" t="inlineStr">
        <is>
          <t>Parcial</t>
        </is>
      </c>
      <c r="H5" s="9" t="inlineStr">
        <is>
          <t>iOS bloqueado sin Mac/Xcode.</t>
        </is>
      </c>
    </row>
    <row r="6">
      <c r="A6" s="9" t="inlineStr">
        <is>
          <t>C-02</t>
        </is>
      </c>
      <c r="B6" s="9" t="inlineStr">
        <is>
          <t>Contenidos organizados en módulos o temas</t>
        </is>
      </c>
      <c r="C6" s="9" t="inlineStr">
        <is>
          <t>Agreement §4</t>
        </is>
      </c>
      <c r="D6" s="9" t="inlineStr">
        <is>
          <t>RF-01</t>
        </is>
      </c>
      <c r="E6" s="9" t="inlineStr">
        <is>
          <t>CU-05</t>
        </is>
      </c>
      <c r="F6" s="9" t="inlineStr">
        <is>
          <t>TU-05, TI-01</t>
        </is>
      </c>
      <c r="G6" s="9" t="inlineStr">
        <is>
          <t>Cubierto</t>
        </is>
      </c>
      <c r="H6" s="9" t="inlineStr">
        <is>
          <t>Agrupación final en D-01.</t>
        </is>
      </c>
    </row>
    <row r="7">
      <c r="A7" s="9" t="inlineStr">
        <is>
          <t>C-03</t>
        </is>
      </c>
      <c r="B7" s="9" t="inlineStr">
        <is>
          <t>Diez temas de Ingeniería de Software</t>
        </is>
      </c>
      <c r="C7" s="9" t="inlineStr">
        <is>
          <t>Agreement §4</t>
        </is>
      </c>
      <c r="D7" s="9" t="inlineStr">
        <is>
          <t>RF-01</t>
        </is>
      </c>
      <c r="E7" s="9" t="inlineStr">
        <is>
          <t>CU-05</t>
        </is>
      </c>
      <c r="F7" s="9" t="inlineStr">
        <is>
          <t>TU-05</t>
        </is>
      </c>
      <c r="G7" s="9" t="inlineStr">
        <is>
          <t>Cubierto</t>
        </is>
      </c>
      <c r="H7" s="9" t="inlineStr"/>
    </row>
    <row r="8">
      <c r="A8" s="9" t="inlineStr">
        <is>
          <t>C-04</t>
        </is>
      </c>
      <c r="B8" s="9" t="inlineStr">
        <is>
          <t>Actividades interactivas</t>
        </is>
      </c>
      <c r="C8" s="9" t="inlineStr">
        <is>
          <t>Agreement §4</t>
        </is>
      </c>
      <c r="D8" s="9" t="inlineStr">
        <is>
          <t>RF-03</t>
        </is>
      </c>
      <c r="E8" s="9" t="inlineStr">
        <is>
          <t>CU-02</t>
        </is>
      </c>
      <c r="F8" s="9" t="inlineStr">
        <is>
          <t>TU-11, TU-12, TI-04</t>
        </is>
      </c>
      <c r="G8" s="9" t="inlineStr">
        <is>
          <t>Cubierto</t>
        </is>
      </c>
      <c r="H8" s="9" t="inlineStr"/>
    </row>
    <row r="9">
      <c r="A9" s="9" t="inlineStr">
        <is>
          <t>C-05</t>
        </is>
      </c>
      <c r="B9" s="9" t="inlineStr">
        <is>
          <t>Escenarios de situaciones del desarrollo de software</t>
        </is>
      </c>
      <c r="C9" s="9" t="inlineStr">
        <is>
          <t>Agreement §4</t>
        </is>
      </c>
      <c r="D9" s="9" t="inlineStr">
        <is>
          <t>RF-03</t>
        </is>
      </c>
      <c r="E9" s="9" t="inlineStr">
        <is>
          <t>CU-02</t>
        </is>
      </c>
      <c r="F9" s="9" t="inlineStr">
        <is>
          <t>—</t>
        </is>
      </c>
      <c r="G9" s="9" t="inlineStr">
        <is>
          <t>Parcial</t>
        </is>
      </c>
      <c r="H9" s="9" t="inlineStr">
        <is>
          <t>Ningún criterio exige el escenario (hallazgo H-01).</t>
        </is>
      </c>
    </row>
    <row r="10">
      <c r="A10" s="9" t="inlineStr">
        <is>
          <t>C-06</t>
        </is>
      </c>
      <c r="B10" s="9" t="inlineStr">
        <is>
          <t>Puntos</t>
        </is>
      </c>
      <c r="C10" s="9" t="inlineStr">
        <is>
          <t>Agreement §4</t>
        </is>
      </c>
      <c r="D10" s="9" t="inlineStr">
        <is>
          <t>RF-03, RF-09</t>
        </is>
      </c>
      <c r="E10" s="9" t="inlineStr">
        <is>
          <t>CU-02</t>
        </is>
      </c>
      <c r="F10" s="9" t="inlineStr">
        <is>
          <t>TU-12</t>
        </is>
      </c>
      <c r="G10" s="9" t="inlineStr">
        <is>
          <t>Parcial</t>
        </is>
      </c>
      <c r="H10" s="9" t="inlineStr">
        <is>
          <t>RF-09 pendiente (D-02).</t>
        </is>
      </c>
    </row>
    <row r="11">
      <c r="A11" s="9" t="inlineStr">
        <is>
          <t>C-07</t>
        </is>
      </c>
      <c r="B11" s="9" t="inlineStr">
        <is>
          <t>Desbloqueos</t>
        </is>
      </c>
      <c r="C11" s="9" t="inlineStr">
        <is>
          <t>Agreement §4</t>
        </is>
      </c>
      <c r="D11" s="9" t="inlineStr">
        <is>
          <t>RF-07</t>
        </is>
      </c>
      <c r="E11" s="9" t="inlineStr">
        <is>
          <t>—</t>
        </is>
      </c>
      <c r="F11" s="9" t="inlineStr">
        <is>
          <t>—</t>
        </is>
      </c>
      <c r="G11" s="9" t="inlineStr">
        <is>
          <t>Parcial</t>
        </is>
      </c>
      <c r="H11" s="9" t="inlineStr">
        <is>
          <t>RF-07 pendiente (D-02).</t>
        </is>
      </c>
    </row>
    <row r="12">
      <c r="A12" s="9" t="inlineStr">
        <is>
          <t>C-08</t>
        </is>
      </c>
      <c r="B12" s="9" t="inlineStr">
        <is>
          <t>Logros</t>
        </is>
      </c>
      <c r="C12" s="9" t="inlineStr">
        <is>
          <t>Agreement §4</t>
        </is>
      </c>
      <c r="D12" s="9" t="inlineStr">
        <is>
          <t>RF-06</t>
        </is>
      </c>
      <c r="E12" s="9" t="inlineStr">
        <is>
          <t>CU-06</t>
        </is>
      </c>
      <c r="F12" s="9" t="inlineStr">
        <is>
          <t>TU-13, TI-05</t>
        </is>
      </c>
      <c r="G12" s="9" t="inlineStr">
        <is>
          <t>Cubierto</t>
        </is>
      </c>
      <c r="H12" s="9" t="inlineStr">
        <is>
          <t>Catálogo pendiente (D-02).</t>
        </is>
      </c>
    </row>
    <row r="13">
      <c r="A13" s="9" t="inlineStr">
        <is>
          <t>C-09</t>
        </is>
      </c>
      <c r="B13" s="9" t="inlineStr">
        <is>
          <t>Registro y visualización del avance</t>
        </is>
      </c>
      <c r="C13" s="9" t="inlineStr">
        <is>
          <t>Agreement §4</t>
        </is>
      </c>
      <c r="D13" s="9" t="inlineStr">
        <is>
          <t>RF-04, RF-05, RF-08</t>
        </is>
      </c>
      <c r="E13" s="9" t="inlineStr">
        <is>
          <t>CU-03, CU-04</t>
        </is>
      </c>
      <c r="F13" s="9" t="inlineStr">
        <is>
          <t>TU-07 a TU-10, TI-02, TI-03</t>
        </is>
      </c>
      <c r="G13" s="9" t="inlineStr">
        <is>
          <t>Cubierto</t>
        </is>
      </c>
      <c r="H13" s="9" t="inlineStr"/>
    </row>
    <row r="14">
      <c r="A14" s="9" t="inlineStr">
        <is>
          <t>C-10</t>
        </is>
      </c>
      <c r="B14" s="9" t="inlineStr">
        <is>
          <t>Sin videojuego, evaluación formal ni compras</t>
        </is>
      </c>
      <c r="C14" s="9" t="inlineStr">
        <is>
          <t>Agreement §4</t>
        </is>
      </c>
      <c r="D14" s="9" t="inlineStr">
        <is>
          <t>RNF-04</t>
        </is>
      </c>
      <c r="E14" s="9" t="inlineStr">
        <is>
          <t>—</t>
        </is>
      </c>
      <c r="F14" s="9" t="inlineStr">
        <is>
          <t>INS-02</t>
        </is>
      </c>
      <c r="G14" s="9" t="inlineStr">
        <is>
          <t>Cubierto</t>
        </is>
      </c>
      <c r="H14" s="9" t="inlineStr"/>
    </row>
    <row r="15">
      <c r="A15" s="9" t="inlineStr">
        <is>
          <t>C-11</t>
        </is>
      </c>
      <c r="B15" s="9" t="inlineStr">
        <is>
          <t>Guía de operación</t>
        </is>
      </c>
      <c r="C15" s="9" t="inlineStr">
        <is>
          <t>Agreement §6; PP §7</t>
        </is>
      </c>
      <c r="D15" s="9" t="inlineStr">
        <is>
          <t>ENT-02</t>
        </is>
      </c>
      <c r="E15" s="9" t="inlineStr">
        <is>
          <t>Todos</t>
        </is>
      </c>
      <c r="F15" s="9" t="inlineStr">
        <is>
          <t>VC-03</t>
        </is>
      </c>
      <c r="G15" s="9" t="inlineStr">
        <is>
          <t>Cubierto</t>
        </is>
      </c>
      <c r="H15" s="9" t="inlineStr">
        <is>
          <t>Por elaborar con la app real.</t>
        </is>
      </c>
    </row>
    <row r="16">
      <c r="A16" s="9" t="inlineStr">
        <is>
          <t>C-12</t>
        </is>
      </c>
      <c r="B16" s="9" t="inlineStr">
        <is>
          <t>Almacenamiento local sin servidor</t>
        </is>
      </c>
      <c r="C16" s="9" t="inlineStr">
        <is>
          <t>PP §10</t>
        </is>
      </c>
      <c r="D16" s="9" t="inlineStr">
        <is>
          <t>RF-08, RNF-02</t>
        </is>
      </c>
      <c r="E16" s="9" t="inlineStr">
        <is>
          <t>Transversal</t>
        </is>
      </c>
      <c r="F16" s="9" t="inlineStr">
        <is>
          <t>TU-14, TI-06</t>
        </is>
      </c>
      <c r="G16" s="9" t="inlineStr">
        <is>
          <t>Cubierto</t>
        </is>
      </c>
      <c r="H16" s="9" t="inlineStr">
        <is>
          <t>Preferencias sin definir (D-04).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22" customWidth="1" min="3" max="3"/>
    <col width="30" customWidth="1" min="4" max="4"/>
    <col width="40" customWidth="1" min="5" max="5"/>
  </cols>
  <sheetData>
    <row r="1">
      <c r="A1" s="6" t="inlineStr">
        <is>
          <t>Tareas del Project Plan y su relación con la matriz — PSPS</t>
        </is>
      </c>
    </row>
    <row r="2">
      <c r="A2" s="7" t="inlineStr">
        <is>
          <t>Calendario: Sprint 01 21/09–08/10; Sprint 02 12/10–26/10; Sprint 03 27/10–12/11; entrega 16–20/11 (CR-01).</t>
        </is>
      </c>
    </row>
    <row r="4">
      <c r="A4" s="8" t="inlineStr">
        <is>
          <t>Tarea</t>
        </is>
      </c>
      <c r="B4" s="8" t="inlineStr">
        <is>
          <t>Descripción</t>
        </is>
      </c>
      <c r="C4" s="8" t="inlineStr">
        <is>
          <t>ISO 29110</t>
        </is>
      </c>
      <c r="D4" s="8" t="inlineStr">
        <is>
          <t>Periodo</t>
        </is>
      </c>
      <c r="E4" s="8" t="inlineStr">
        <is>
          <t>Alimenta en la matriz</t>
        </is>
      </c>
    </row>
    <row r="5">
      <c r="A5" s="9" t="inlineStr">
        <is>
          <t>T01</t>
        </is>
      </c>
      <c r="B5" s="9" t="inlineStr">
        <is>
          <t>Project Plan</t>
        </is>
      </c>
      <c r="C5" s="9" t="inlineStr">
        <is>
          <t>PM.01</t>
        </is>
      </c>
      <c r="D5" s="9" t="inlineStr">
        <is>
          <t>Sprint 01; CR-01</t>
        </is>
      </c>
      <c r="E5" s="9" t="inlineStr">
        <is>
          <t>Fuente de requisitos y plataformas</t>
        </is>
      </c>
    </row>
    <row r="6">
      <c r="A6" s="9" t="inlineStr">
        <is>
          <t>T02</t>
        </is>
      </c>
      <c r="B6" s="9" t="inlineStr">
        <is>
          <t>Revisión del plan y entorno</t>
        </is>
      </c>
      <c r="C6" s="9" t="inlineStr">
        <is>
          <t>SI.01.01, SI.01.02</t>
        </is>
      </c>
      <c r="D6" s="9" t="inlineStr">
        <is>
          <t>Sprint 01; verificación por Sprint</t>
        </is>
      </c>
      <c r="E6" s="9" t="inlineStr">
        <is>
          <t>RNF-03, INS-01</t>
        </is>
      </c>
    </row>
    <row r="7">
      <c r="A7" s="9" t="inlineStr">
        <is>
          <t>T03</t>
        </is>
      </c>
      <c r="B7" s="9" t="inlineStr">
        <is>
          <t>Requisitos y Product Backlog</t>
        </is>
      </c>
      <c r="C7" s="9" t="inlineStr">
        <is>
          <t>SI.02.02</t>
        </is>
      </c>
      <c r="D7" s="9" t="inlineStr">
        <is>
          <t>Sprints 01–03</t>
        </is>
      </c>
      <c r="E7" s="9" t="inlineStr">
        <is>
          <t>Columnas Requisito, CU y Criterio</t>
        </is>
      </c>
    </row>
    <row r="8">
      <c r="A8" s="9" t="inlineStr">
        <is>
          <t>T04</t>
        </is>
      </c>
      <c r="B8" s="9" t="inlineStr">
        <is>
          <t>Validación de requisitos</t>
        </is>
      </c>
      <c r="C8" s="9" t="inlineStr">
        <is>
          <t>SI.02.03, SI.02.04</t>
        </is>
      </c>
      <c r="D8" s="9" t="inlineStr">
        <is>
          <t>Sesión con la cliente al inicio del Sprint 02 (14/10)</t>
        </is>
      </c>
      <c r="E8" s="9" t="inlineStr">
        <is>
          <t>Estado requisito; VC-01</t>
        </is>
      </c>
    </row>
    <row r="9">
      <c r="A9" s="9" t="inlineStr">
        <is>
          <t>T05</t>
        </is>
      </c>
      <c r="B9" s="9" t="inlineStr">
        <is>
          <t>Especificación de componentes</t>
        </is>
      </c>
      <c r="C9" s="9" t="inlineStr">
        <is>
          <t>SI.03.03</t>
        </is>
      </c>
      <c r="D9" s="9" t="inlineStr">
        <is>
          <t>Sprints 01–03</t>
        </is>
      </c>
      <c r="E9" s="9" t="inlineStr">
        <is>
          <t>Hoja Diseño</t>
        </is>
      </c>
    </row>
    <row r="10">
      <c r="A10" s="9" t="inlineStr">
        <is>
          <t>T06</t>
        </is>
      </c>
      <c r="B10" s="9" t="inlineStr">
        <is>
          <t>Revisión del diseño</t>
        </is>
      </c>
      <c r="C10" s="9" t="inlineStr">
        <is>
          <t>SI.03.02, SI.03.04</t>
        </is>
      </c>
      <c r="D10" s="9" t="inlineStr">
        <is>
          <t>Antes de construir</t>
        </is>
      </c>
      <c r="E10" s="9" t="inlineStr">
        <is>
          <t>Hoja Diseño</t>
        </is>
      </c>
    </row>
    <row r="11">
      <c r="A11" s="9" t="inlineStr">
        <is>
          <t>T07</t>
        </is>
      </c>
      <c r="B11" s="9" t="inlineStr">
        <is>
          <t>Construcción</t>
        </is>
      </c>
      <c r="C11" s="9" t="inlineStr">
        <is>
          <t>SI.04.02, SI.04.05</t>
        </is>
      </c>
      <c r="D11" s="9" t="inlineStr">
        <is>
          <t>Sprints 01–03</t>
        </is>
      </c>
      <c r="E11" s="9" t="inlineStr">
        <is>
          <t>Columna Código</t>
        </is>
      </c>
    </row>
    <row r="12">
      <c r="A12" s="9" t="inlineStr">
        <is>
          <t>T08</t>
        </is>
      </c>
      <c r="B12" s="9" t="inlineStr">
        <is>
          <t>Pruebas unitarias</t>
        </is>
      </c>
      <c r="C12" s="9" t="inlineStr">
        <is>
          <t>SI.04.03, SI.04.04</t>
        </is>
      </c>
      <c r="D12" s="9" t="inlineStr">
        <is>
          <t>Sprints 01–03</t>
        </is>
      </c>
      <c r="E12" s="9" t="inlineStr">
        <is>
          <t>TU-01 a TU-15</t>
        </is>
      </c>
    </row>
    <row r="13">
      <c r="A13" s="9" t="inlineStr">
        <is>
          <t>T09</t>
        </is>
      </c>
      <c r="B13" s="9" t="inlineStr">
        <is>
          <t>Integración</t>
        </is>
      </c>
      <c r="C13" s="9" t="inlineStr">
        <is>
          <t>SI.05.03</t>
        </is>
      </c>
      <c r="D13" s="9" t="inlineStr">
        <is>
          <t>Sprints 01–03</t>
        </is>
      </c>
      <c r="E13" s="9" t="inlineStr">
        <is>
          <t>Etapa de integración</t>
        </is>
      </c>
    </row>
    <row r="14">
      <c r="A14" s="9" t="inlineStr">
        <is>
          <t>T10</t>
        </is>
      </c>
      <c r="B14" s="9" t="inlineStr">
        <is>
          <t>Pruebas de integración</t>
        </is>
      </c>
      <c r="C14" s="9" t="inlineStr">
        <is>
          <t>SI.05.02, SI.05.04, SI.05.05</t>
        </is>
      </c>
      <c r="D14" s="9" t="inlineStr">
        <is>
          <t>Sprints 01–03</t>
        </is>
      </c>
      <c r="E14" s="9" t="inlineStr">
        <is>
          <t>TI-01 a TI-08, INS</t>
        </is>
      </c>
    </row>
    <row r="15">
      <c r="A15" s="9" t="inlineStr">
        <is>
          <t>T11</t>
        </is>
      </c>
      <c r="B15" s="9" t="inlineStr">
        <is>
          <t>Sprint Review y validación</t>
        </is>
      </c>
      <c r="C15" s="9" t="inlineStr">
        <is>
          <t>PM.02.02, SI.05.06</t>
        </is>
      </c>
      <c r="D15" s="9" t="inlineStr">
        <is>
          <t>Cierre de cada Sprint</t>
        </is>
      </c>
      <c r="E15" s="9" t="inlineStr">
        <is>
          <t>VC-02</t>
        </is>
      </c>
    </row>
    <row r="16">
      <c r="A16" s="9" t="inlineStr">
        <is>
          <t>T12</t>
        </is>
      </c>
      <c r="B16" s="9" t="inlineStr">
        <is>
          <t>Producto y Guía de operación</t>
        </is>
      </c>
      <c r="C16" s="9" t="inlineStr">
        <is>
          <t>SI.06.01, SI.06.02</t>
        </is>
      </c>
      <c r="D16" s="9" t="inlineStr">
        <is>
          <t>Sprint 03</t>
        </is>
      </c>
      <c r="E16" s="9" t="inlineStr">
        <is>
          <t>ENT-01, ENT-02, VC-03</t>
        </is>
      </c>
    </row>
    <row r="17">
      <c r="A17" s="9" t="inlineStr">
        <is>
          <t>T13</t>
        </is>
      </c>
      <c r="B17" s="9" t="inlineStr">
        <is>
          <t>Entrega y aceptación</t>
        </is>
      </c>
      <c r="C17" s="9" t="inlineStr">
        <is>
          <t>PM.04.01, PM.04.02</t>
        </is>
      </c>
      <c r="D17" s="9" t="inlineStr">
        <is>
          <t>16–20/11/2026 (CR-01)</t>
        </is>
      </c>
      <c r="E17" s="9" t="inlineStr">
        <is>
          <t>Aceptación de ENT-01 y ENT-02</t>
        </is>
      </c>
    </row>
    <row r="18">
      <c r="A18" s="9" t="inlineStr">
        <is>
          <t>T14</t>
        </is>
      </c>
      <c r="B18" s="9" t="inlineStr">
        <is>
          <t>Seguimiento</t>
        </is>
      </c>
      <c r="C18" s="9" t="inlineStr">
        <is>
          <t>PM.02.01, PM.03</t>
        </is>
      </c>
      <c r="D18" s="9" t="inlineStr">
        <is>
          <t>Todo el proyecto</t>
        </is>
      </c>
      <c r="E18" s="9" t="inlineStr">
        <is>
          <t>Hallazgos y decisiones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0" customWidth="1" min="2" max="2"/>
    <col width="30" customWidth="1" min="3" max="3"/>
    <col width="32" customWidth="1" min="4" max="4"/>
    <col width="16" customWidth="1" min="5" max="5"/>
    <col width="12" customWidth="1" min="6" max="6"/>
  </cols>
  <sheetData>
    <row r="1">
      <c r="A1" s="6" t="inlineStr">
        <is>
          <t>Decisiones pendientes — PSPS</t>
        </is>
      </c>
    </row>
    <row r="2">
      <c r="A2" s="7" t="inlineStr">
        <is>
          <t>SRS v0.4 §8.</t>
        </is>
      </c>
    </row>
    <row r="4">
      <c r="A4" s="8" t="inlineStr">
        <is>
          <t>ID</t>
        </is>
      </c>
      <c r="B4" s="8" t="inlineStr">
        <is>
          <t>Decisión necesaria</t>
        </is>
      </c>
      <c r="C4" s="8" t="inlineStr">
        <is>
          <t>Responsable</t>
        </is>
      </c>
      <c r="D4" s="8" t="inlineStr">
        <is>
          <t>Filas que dependen</t>
        </is>
      </c>
      <c r="E4" s="8" t="inlineStr">
        <is>
          <t>Fecha objetivo</t>
        </is>
      </c>
      <c r="F4" s="8" t="inlineStr">
        <is>
          <t>Estado</t>
        </is>
      </c>
    </row>
    <row r="5">
      <c r="A5" s="9" t="inlineStr">
        <is>
          <t>D-01</t>
        </is>
      </c>
      <c r="B5" s="9" t="inlineStr">
        <is>
          <t>Agrupación de CT-01 a CT-10, subtemas, actividades y alcance de CT-07.</t>
        </is>
      </c>
      <c r="C5" s="9" t="inlineStr">
        <is>
          <t>Cliente y equipo</t>
        </is>
      </c>
      <c r="D5" s="9" t="inlineStr">
        <is>
          <t>RF-01 a RF-03; Contenidos</t>
        </is>
      </c>
      <c r="E5" s="9" t="inlineStr">
        <is>
          <t>14/10/2026</t>
        </is>
      </c>
      <c r="F5" s="9" t="inlineStr">
        <is>
          <t>Abierta</t>
        </is>
      </c>
    </row>
    <row r="6">
      <c r="A6" s="9" t="inlineStr">
        <is>
          <t>D-02</t>
        </is>
      </c>
      <c r="B6" s="9" t="inlineStr">
        <is>
          <t>Catálogo de gamificación G-01 a G-03; incorporar RF-07 y RF-09.</t>
        </is>
      </c>
      <c r="C6" s="9" t="inlineStr">
        <is>
          <t>Cliente y gestor</t>
        </is>
      </c>
      <c r="D6" s="9" t="inlineStr">
        <is>
          <t>RF-03, RF-06, RF-07, RF-09; Gamificación</t>
        </is>
      </c>
      <c r="E6" s="9" t="inlineStr">
        <is>
          <t>14/10/2026</t>
        </is>
      </c>
      <c r="F6" s="9" t="inlineStr">
        <is>
          <t>Abierta</t>
        </is>
      </c>
    </row>
    <row r="7">
      <c r="A7" s="9" t="inlineStr">
        <is>
          <t>D-03</t>
        </is>
      </c>
      <c r="B7" s="9" t="inlineStr">
        <is>
          <t>Versiones mínimas, dispositivos y compilación/instalación iOS.</t>
        </is>
      </c>
      <c r="C7" s="9" t="inlineStr">
        <is>
          <t>Responsable técnico y gestor</t>
        </is>
      </c>
      <c r="D7" s="9" t="inlineStr">
        <is>
          <t>RNF-01, RNF-10, RNF-11, ENT-01</t>
        </is>
      </c>
      <c r="E7" s="9" t="inlineStr">
        <is>
          <t>Antes del Sprint 03</t>
        </is>
      </c>
      <c r="F7" s="9" t="inlineStr">
        <is>
          <t>Abierta</t>
        </is>
      </c>
    </row>
    <row r="8">
      <c r="A8" s="9" t="inlineStr">
        <is>
          <t>D-04</t>
        </is>
      </c>
      <c r="B8" s="9" t="inlineStr">
        <is>
          <t>Preferencias, actualización, reinstalación y corrupción de datos.</t>
        </is>
      </c>
      <c r="C8" s="9" t="inlineStr">
        <is>
          <t>Cliente y responsable técnico</t>
        </is>
      </c>
      <c r="D8" s="9" t="inlineStr">
        <is>
          <t>RF-08, RNF-02, RNF-07, RNF-08</t>
        </is>
      </c>
      <c r="E8" s="9" t="inlineStr">
        <is>
          <t>Sprint 02</t>
        </is>
      </c>
      <c r="F8" s="9" t="inlineStr">
        <is>
          <t>Abierta</t>
        </is>
      </c>
    </row>
    <row r="9">
      <c r="A9" s="9" t="inlineStr">
        <is>
          <t>D-05</t>
        </is>
      </c>
      <c r="B9" s="9" t="inlineStr">
        <is>
          <t>Umbral y condiciones de RNF-06.</t>
        </is>
      </c>
      <c r="C9" s="9" t="inlineStr">
        <is>
          <t>Cliente y responsable técnico</t>
        </is>
      </c>
      <c r="D9" s="9" t="inlineStr">
        <is>
          <t>RNF-06; TI-07</t>
        </is>
      </c>
      <c r="E9" s="9" t="inlineStr">
        <is>
          <t>Sprint 02</t>
        </is>
      </c>
      <c r="F9" s="9" t="inlineStr">
        <is>
          <t>Abierta</t>
        </is>
      </c>
    </row>
    <row r="10">
      <c r="A10" s="9" t="inlineStr">
        <is>
          <t>D-06</t>
        </is>
      </c>
      <c r="B10" s="9" t="inlineStr">
        <is>
          <t>Aprobación del SRS v0.4 y decisión sobre CR-01.</t>
        </is>
      </c>
      <c r="C10" s="9" t="inlineStr">
        <is>
          <t>Gestor y cliente</t>
        </is>
      </c>
      <c r="D10" s="9" t="inlineStr">
        <is>
          <t>Estado requisito; VC-01</t>
        </is>
      </c>
      <c r="E10" s="9" t="inlineStr">
        <is>
          <t>14/10/2026</t>
        </is>
      </c>
      <c r="F10" s="9" t="inlineStr">
        <is>
          <t>Abierta</t>
        </is>
      </c>
    </row>
  </sheetData>
  <dataValidations count="1">
    <dataValidation sqref="F5:F10" showDropDown="0" showInputMessage="0" showErrorMessage="0" allowBlank="1" type="list">
      <formula1>"Abierta,Cerrada"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34" customWidth="1" min="3" max="3"/>
    <col width="34" customWidth="1" min="4" max="4"/>
    <col width="44" customWidth="1" min="5" max="5"/>
    <col width="10" customWidth="1" min="6" max="6"/>
  </cols>
  <sheetData>
    <row r="1">
      <c r="A1" s="6" t="inlineStr">
        <is>
          <t>Hallazgos al cruzar documentos — PSPS</t>
        </is>
      </c>
    </row>
    <row r="2">
      <c r="A2" s="7" t="inlineStr">
        <is>
          <t>Huecos y riesgos vigentes al 09/10/2026.</t>
        </is>
      </c>
    </row>
    <row r="4">
      <c r="A4" s="8" t="inlineStr">
        <is>
          <t>ID</t>
        </is>
      </c>
      <c r="B4" s="8" t="inlineStr">
        <is>
          <t>Hallazgo</t>
        </is>
      </c>
      <c r="C4" s="8" t="inlineStr">
        <is>
          <t>Evidencia</t>
        </is>
      </c>
      <c r="D4" s="8" t="inlineStr">
        <is>
          <t>Impacto</t>
        </is>
      </c>
      <c r="E4" s="8" t="inlineStr">
        <is>
          <t>Acción</t>
        </is>
      </c>
      <c r="F4" s="8" t="inlineStr">
        <is>
          <t>Severidad</t>
        </is>
      </c>
    </row>
    <row r="5">
      <c r="A5" s="9" t="inlineStr">
        <is>
          <t>H-01</t>
        </is>
      </c>
      <c r="B5" s="9" t="inlineStr">
        <is>
          <t>Los «escenarios de situaciones del desarrollo de software» no tienen criterio de aceptación propio.</t>
        </is>
      </c>
      <c r="C5" s="9" t="inlineStr">
        <is>
          <t>Agreement §4; SRS §1.2; RF-03.</t>
        </is>
      </c>
      <c r="D5" s="9" t="inlineStr">
        <is>
          <t>Un compromiso podría no probarse.</t>
        </is>
      </c>
      <c r="E5" s="9" t="inlineStr">
        <is>
          <t>Precisarlo en D-01 o agregar un criterio a RF-03.</t>
        </is>
      </c>
      <c r="F5" s="9" t="inlineStr">
        <is>
          <t>Media</t>
        </is>
      </c>
    </row>
    <row r="6">
      <c r="A6" s="9" t="inlineStr">
        <is>
          <t>H-02</t>
        </is>
      </c>
      <c r="B6" s="9" t="inlineStr">
        <is>
          <t>El SRS v0.4 no está validado por la cliente.</t>
        </is>
      </c>
      <c r="C6" s="9" t="inlineStr">
        <is>
          <t>SRS §8; MR-06; MR-07.</t>
        </is>
      </c>
      <c r="D6" s="9" t="inlineStr">
        <is>
          <t>Sin línea base de requisitos.</t>
        </is>
      </c>
      <c r="E6" s="9" t="inlineStr">
        <is>
          <t>Validarlo en la sesión con la cliente del 14/10 (VC-01).</t>
        </is>
      </c>
      <c r="F6" s="9" t="inlineStr">
        <is>
          <t>Alta</t>
        </is>
      </c>
    </row>
    <row r="7">
      <c r="A7" s="9" t="inlineStr">
        <is>
          <t>H-03</t>
        </is>
      </c>
      <c r="B7" s="9" t="inlineStr">
        <is>
          <t>El código no está en el repositorio.</t>
        </is>
      </c>
      <c r="C7" s="9" t="inlineStr">
        <is>
          <t>PSR; Mapeo ISO.</t>
        </is>
      </c>
      <c r="D7" s="9" t="inlineStr">
        <is>
          <t>No hay evidencia de Código ni de pruebas.</t>
        </is>
      </c>
      <c r="E7" s="9" t="inlineStr">
        <is>
          <t>Subir el proyecto Flutter y llenar la columna Código.</t>
        </is>
      </c>
      <c r="F7" s="9" t="inlineStr">
        <is>
          <t>Alta</t>
        </is>
      </c>
    </row>
    <row r="8">
      <c r="A8" s="9" t="inlineStr">
        <is>
          <t>H-04</t>
        </is>
      </c>
      <c r="B8" s="9" t="inlineStr">
        <is>
          <t>Ninguna reunión del Sprint 01 tuvo participación de la cliente.</t>
        </is>
      </c>
      <c r="C8" s="9" t="inlineStr">
        <is>
          <t>MR-01 a MR-07.</t>
        </is>
      </c>
      <c r="D8" s="9" t="inlineStr">
        <is>
          <t>Requisitos e incremento sin retroalimentación de la cliente.</t>
        </is>
      </c>
      <c r="E8" s="9" t="inlineStr">
        <is>
          <t>Sprint Review del Sprint 02 con la cliente.</t>
        </is>
      </c>
      <c r="F8" s="9" t="inlineStr">
        <is>
          <t>Alta</t>
        </is>
      </c>
    </row>
    <row r="9">
      <c r="A9" s="9" t="inlineStr">
        <is>
          <t>H-05</t>
        </is>
      </c>
      <c r="B9" s="9" t="inlineStr">
        <is>
          <t>El Project Plan menciona «preferencias» que ningún requisito define.</t>
        </is>
      </c>
      <c r="C9" s="9" t="inlineStr">
        <is>
          <t>Project Plan §10; D-04.</t>
        </is>
      </c>
      <c r="D9" s="9" t="inlineStr">
        <is>
          <t>Requisito huérfano.</t>
        </is>
      </c>
      <c r="E9" s="9" t="inlineStr">
        <is>
          <t>Definirlas o retirarlas en D-04.</t>
        </is>
      </c>
      <c r="F9" s="9" t="inlineStr">
        <is>
          <t>Media</t>
        </is>
      </c>
    </row>
    <row r="10">
      <c r="A10" s="9" t="inlineStr">
        <is>
          <t>H-06</t>
        </is>
      </c>
      <c r="B10" s="9" t="inlineStr">
        <is>
          <t>La entrega iOS requiere macOS con Xcode.</t>
        </is>
      </c>
      <c r="C10" s="9" t="inlineStr">
        <is>
          <t>Project Plan §10, §14; D-03.</t>
        </is>
      </c>
      <c r="D10" s="9" t="inlineStr">
        <is>
          <t>Riesgo de no generar el IPA.</t>
        </is>
      </c>
      <c r="E10" s="9" t="inlineStr">
        <is>
          <t>Resolver D-03 antes del Sprint 03.</t>
        </is>
      </c>
      <c r="F10" s="9" t="inlineStr">
        <is>
          <t>Media</t>
        </is>
      </c>
    </row>
    <row r="11">
      <c r="A11" s="9" t="inlineStr">
        <is>
          <t>H-07</t>
        </is>
      </c>
      <c r="B11" s="9" t="inlineStr">
        <is>
          <t>«Cola» en el Agreement y «Colas» en el SRS.</t>
        </is>
      </c>
      <c r="C11" s="9" t="inlineStr">
        <is>
          <t>Agreement §4; SRS §1.3.</t>
        </is>
      </c>
      <c r="D11" s="9" t="inlineStr">
        <is>
          <t>Diferencia menor de nombre.</t>
        </is>
      </c>
      <c r="E11" s="9" t="inlineStr">
        <is>
          <t>Unificar en el catálogo de contenido.</t>
        </is>
      </c>
      <c r="F11" s="9" t="inlineStr">
        <is>
          <t>Baja</t>
        </is>
      </c>
    </row>
    <row r="12">
      <c r="A12" s="9" t="inlineStr">
        <is>
          <t>H-08</t>
        </is>
      </c>
      <c r="B12" s="9" t="inlineStr">
        <is>
          <t>MR-07 reporta 10 pruebas automáticas aprobadas y 1 de integración en Android, que no están vinculadas a los casos de la hoja Pruebas.</t>
        </is>
      </c>
      <c r="C12" s="9" t="inlineStr">
        <is>
          <t>MR-07; hoja Pruebas.</t>
        </is>
      </c>
      <c r="D12" s="9" t="inlineStr">
        <is>
          <t>No se puede comprobar su resultado ni qué requisito cubren.</t>
        </is>
      </c>
      <c r="E12" s="9" t="inlineStr">
        <is>
          <t>Al subir el código, vincular cada prueba con su ID de caso, commit, fecha y resultado; si son pruebas distintas, registrarlas como tales. No marcar casos como Aprobada sin evidencia.</t>
        </is>
      </c>
      <c r="F12" s="9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2026-10-10T02:58:23Z</dcterms:created>
  <dcterms:modified xmlns:dcterms="http://purl.org/dc/terms/" xmlns:xsi="http://www.w3.org/2001/XMLSchema-instance" xsi:type="dcterms:W3CDTF">2026-10-10T02:58:23Z</dcterms:modified>
</cp:coreProperties>
</file>